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amil\Downloads\"/>
    </mc:Choice>
  </mc:AlternateContent>
  <xr:revisionPtr revIDLastSave="0" documentId="8_{61D38DC1-B1E0-4B8E-A30C-DB172D479BAC}" xr6:coauthVersionLast="47" xr6:coauthVersionMax="47" xr10:uidLastSave="{00000000-0000-0000-0000-000000000000}"/>
  <bookViews>
    <workbookView xWindow="-120" yWindow="-120" windowWidth="20730" windowHeight="11040" tabRatio="500" firstSheet="1" activeTab="2" xr2:uid="{00000000-000D-0000-FFFF-FFFF00000000}"/>
  </bookViews>
  <sheets>
    <sheet name="Parametros_PNAE" sheetId="1" r:id="rId1"/>
    <sheet name="Gráfico1" sheetId="4" r:id="rId2"/>
    <sheet name="Simulador_Escola" sheetId="2" r:id="rId3"/>
    <sheet name="Banco_de_Dados" sheetId="3" r:id="rId4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23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<sst xmlns="http://schemas.openxmlformats.org/spreadsheetml/2006/main" count="79" uniqueCount="57">
  <si>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</si>
  <si>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</si>
  <si>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</si>
  <si>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</si>
  <si>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</si>
  <si>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</si>
  <si>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</si>
  <si>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</si>
  <si>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</si>
  <si>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</si>
  <si>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</si>
  <si>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</si>
  <si>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</si>
  <si>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</si>
  <si>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</si>
  <si>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</si>
  <si>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</si>
  <si>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</si>
  <si>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</si>
  <si>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</si>
  <si>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</si>
  <si>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</si>
  <si>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</si>
  <si>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</si>
  <si>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</si>
  <si>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</si>
  <si>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</si>
  <si>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</si>
  <si>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</si>
  <si>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</si>
  <si>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</si>
  <si>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</si>
  <si>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</si>
  <si>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</si>
  <si>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</si>
  <si>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</si>
  <si>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</si>
  <si>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</si>
  <si>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</si>
  <si>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</si>
  <si>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</si>
  <si>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</si>
  <si>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</si>
  <si>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</si>
  <si>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</si>
  <si>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</si>
  <si>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</si>
  <si>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</si>
  <si>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</si>
  <si>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Usuário</t>
  </si>
  <si>
    <t>usuario</t>
  </si>
  <si>
    <t>Clarinha</t>
  </si>
  <si>
    <t>Acho que haverá uma redução de 5% no próximo ano</t>
  </si>
  <si>
    <t>Jamilly</t>
  </si>
  <si>
    <t>Nova creche no bairro</t>
  </si>
  <si>
    <t>Karina</t>
  </si>
  <si>
    <t>Censo mostra queda de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</si>
</sst>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 &quot;#,##0.00"/>
    <numFmt numFmtId="165" formatCode="0.0%"/>
    <numFmt numFmtId="166" formatCode="\R&quot;R$&quot;\ #,##0.00"/>
    <numFmt numFmtId="167" formatCode="dd/mm/yyyy\ hh:mm"/>
  </numFmts>
  <fonts count="16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5" fillId="0" borderId="0" xfId="0" applyFont="1"/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3" fillId="2" borderId="9" xfId="0" applyFont="1" applyFill="1" applyBorder="1" applyAlignment="1">
      <alignment horizontal="center" vertical="center" wrapText="1"/>
    </xf>
    <xf numFmtId="0" fontId="0" fillId="10" borderId="0" xfId="0" applyFill="1"/>
    <xf numFmtId="0" fontId="14" fillId="9" borderId="10" xfId="0" applyFont="1" applyFill="1" applyBorder="1" applyAlignment="1">
      <alignment horizontal="center" vertical="center" wrapText="1"/>
    </xf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Simulador_Escola!$F$27</c:f>
              <c:strCache>
                <c:ptCount val="1"/>
                <c:pt idx="0">
                  <c:v>Usuário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Simulador_Escola!$F$28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A30-46AE-9ADD-70E4BE182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7864992"/>
        <c:axId val="2049095984"/>
      </c:barChart>
      <c:catAx>
        <c:axId val="2047864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9095984"/>
        <c:crosses val="autoZero"/>
        <c:auto val="1"/>
        <c:lblAlgn val="ctr"/>
        <c:lblOffset val="100"/>
        <c:noMultiLvlLbl val="0"/>
      </c:catAx>
      <c:valAx>
        <c:axId val="20490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786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301A796-6748-4E8C-A5C5-97B23A8739BE}">
  <sheetPr codeName="Gráfico1"/>
  <sheetViews>
    <sheetView zoomScale="7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3857" cy="600075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F93A3D-4EEA-608F-C4F2-891967350D0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topLeftCell="A8" zoomScaleNormal="100" workbookViewId="0">
      <selection activeCell="A23" sqref="A23"/>
    </sheetView>
  </sheetViews>
  <sheetFormatPr defaultColWidth="8.7109375" defaultRowHeight="15" x14ac:dyDescent="0.25"/>
  <cols>
    <col min="1" max="1" width="26" customWidth="1"/>
    <col min="2" max="2" width="20" customWidth="1"/>
    <col min="3" max="3" width="4" customWidth="1"/>
  </cols>
  <sheetData>
    <row r="1" spans="1:2" ht="25.5" customHeight="1" x14ac:dyDescent="0.25">
      <c r="A1" s="42" t="s">
        <v>0</v>
      </c>
      <c r="B1" s="42"/>
    </row>
    <row r="2" spans="1:2" ht="62.25" customHeight="1" x14ac:dyDescent="0.25">
      <c r="A2" s="43" t="s">
        <v>1</v>
      </c>
      <c r="B2" s="43"/>
    </row>
    <row r="4" spans="1:2" ht="27.75" customHeight="1" x14ac:dyDescent="0.25">
      <c r="A4" s="1" t="s">
        <v>2</v>
      </c>
      <c r="B4" s="1" t="s">
        <v>3</v>
      </c>
    </row>
    <row r="5" spans="1:2" x14ac:dyDescent="0.25">
      <c r="A5" s="2" t="s">
        <v>4</v>
      </c>
      <c r="B5" s="3">
        <v>1.57</v>
      </c>
    </row>
    <row r="6" spans="1:2" x14ac:dyDescent="0.25">
      <c r="A6" s="2" t="s">
        <v>5</v>
      </c>
      <c r="B6" s="3">
        <v>0.82</v>
      </c>
    </row>
    <row r="7" spans="1:2" x14ac:dyDescent="0.25">
      <c r="A7" s="2" t="s">
        <v>6</v>
      </c>
      <c r="B7" s="3">
        <v>0.56999999999999995</v>
      </c>
    </row>
    <row r="8" spans="1:2" x14ac:dyDescent="0.25">
      <c r="A8" s="2" t="s">
        <v>7</v>
      </c>
      <c r="B8" s="3">
        <v>0.56999999999999995</v>
      </c>
    </row>
    <row r="9" spans="1:2" x14ac:dyDescent="0.25">
      <c r="A9" s="2" t="s">
        <v>8</v>
      </c>
      <c r="B9" s="3">
        <v>0.56999999999999995</v>
      </c>
    </row>
    <row r="10" spans="1:2" x14ac:dyDescent="0.25">
      <c r="A10" s="2" t="s">
        <v>9</v>
      </c>
      <c r="B10" s="3">
        <v>0.98</v>
      </c>
    </row>
    <row r="11" spans="1:2" x14ac:dyDescent="0.25">
      <c r="A11" s="2" t="s">
        <v>10</v>
      </c>
      <c r="B11" s="3">
        <v>0.78</v>
      </c>
    </row>
    <row r="13" spans="1:2" x14ac:dyDescent="0.25">
      <c r="A13" s="4" t="s">
        <v>11</v>
      </c>
      <c r="B13" s="5">
        <v>200</v>
      </c>
    </row>
    <row r="15" spans="1:2" x14ac:dyDescent="0.25">
      <c r="A15" s="44" t="s">
        <v>12</v>
      </c>
      <c r="B15" s="44"/>
    </row>
    <row r="16" spans="1:2" x14ac:dyDescent="0.25">
      <c r="A16" s="1" t="s">
        <v>13</v>
      </c>
      <c r="B16" s="1" t="s">
        <v>14</v>
      </c>
    </row>
    <row r="17" spans="1:2" x14ac:dyDescent="0.25">
      <c r="A17" s="6">
        <v>0</v>
      </c>
      <c r="B17" s="6" t="s">
        <v>15</v>
      </c>
    </row>
    <row r="18" spans="1:2" x14ac:dyDescent="0.25">
      <c r="A18" s="6">
        <v>201</v>
      </c>
      <c r="B18" s="6" t="s">
        <v>16</v>
      </c>
    </row>
    <row r="19" spans="1:2" x14ac:dyDescent="0.25">
      <c r="A19" s="6">
        <v>401</v>
      </c>
      <c r="B19" s="6" t="s">
        <v>17</v>
      </c>
    </row>
    <row r="20" spans="1:2" x14ac:dyDescent="0.25">
      <c r="A20" s="45" t="s">
        <v>18</v>
      </c>
      <c r="B20" s="45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48"/>
  <sheetViews>
    <sheetView showGridLines="0" tabSelected="1" topLeftCell="A20" zoomScaleNormal="100" workbookViewId="0">
      <selection activeCell="C25" sqref="C25:D25"/>
    </sheetView>
  </sheetViews>
  <sheetFormatPr defaultColWidth="8.7109375" defaultRowHeight="15" x14ac:dyDescent="0.25"/>
  <cols>
    <col min="1" max="1" width="30" customWidth="1"/>
    <col min="2" max="2" width="18.42578125" customWidth="1"/>
    <col min="3" max="3" width="18.28515625" customWidth="1"/>
    <col min="4" max="4" width="15.7109375" customWidth="1"/>
    <col min="5" max="5" width="16" customWidth="1"/>
    <col min="6" max="6" width="20" customWidth="1"/>
    <col min="7" max="7" width="22" customWidth="1"/>
    <col min="8" max="8" width="10" customWidth="1"/>
    <col min="9" max="9" width="11.7109375" customWidth="1"/>
  </cols>
  <sheetData>
    <row r="1" spans="1:3" ht="25.5" customHeight="1" x14ac:dyDescent="0.25">
      <c r="A1" s="48" t="s">
        <v>19</v>
      </c>
      <c r="B1" s="48"/>
      <c r="C1" s="48"/>
    </row>
    <row r="2" spans="1:3" ht="39.75" customHeight="1" x14ac:dyDescent="0.25">
      <c r="A2" s="43" t="s">
        <v>20</v>
      </c>
      <c r="B2" s="43"/>
      <c r="C2" s="43"/>
    </row>
    <row r="4" spans="1:3" x14ac:dyDescent="0.25">
      <c r="A4" s="4" t="s">
        <v>21</v>
      </c>
      <c r="B4" s="7" t="s">
        <v>22</v>
      </c>
    </row>
    <row r="5" spans="1:3" x14ac:dyDescent="0.25">
      <c r="A5" s="4" t="s">
        <v>23</v>
      </c>
      <c r="B5" s="7" t="s">
        <v>24</v>
      </c>
    </row>
    <row r="6" spans="1:3" x14ac:dyDescent="0.25">
      <c r="A6" s="4" t="s">
        <v>25</v>
      </c>
      <c r="B6" s="7" t="s">
        <v>26</v>
      </c>
    </row>
    <row r="8" spans="1:3" x14ac:dyDescent="0.25">
      <c r="A8" s="44" t="s">
        <v>27</v>
      </c>
      <c r="B8" s="44"/>
      <c r="C8" s="44"/>
    </row>
    <row r="9" spans="1:3" ht="30" customHeight="1" x14ac:dyDescent="0.25">
      <c r="A9" s="1" t="s">
        <v>2</v>
      </c>
      <c r="B9" s="1" t="s">
        <v>28</v>
      </c>
      <c r="C9" s="1" t="s">
        <v>3</v>
      </c>
    </row>
    <row r="10" spans="1:3" x14ac:dyDescent="0.25">
      <c r="A10" s="2" t="s">
        <v>4</v>
      </c>
      <c r="B10" s="8">
        <v>60</v>
      </c>
      <c r="C10" s="9">
        <f>VLOOKUP(A10,Parametros_PNAE!$A$5:$B$11,2,FALSE())</f>
        <v>1.57</v>
      </c>
    </row>
    <row r="11" spans="1:3" x14ac:dyDescent="0.25">
      <c r="A11" s="2" t="s">
        <v>5</v>
      </c>
      <c r="B11" s="8">
        <v>80</v>
      </c>
      <c r="C11" s="9">
        <f>VLOOKUP(A11,Parametros_PNAE!$A$5:$B$11,2,FALSE())</f>
        <v>0.82</v>
      </c>
    </row>
    <row r="12" spans="1:3" x14ac:dyDescent="0.25">
      <c r="A12" s="2" t="s">
        <v>6</v>
      </c>
      <c r="B12" s="8">
        <v>50</v>
      </c>
      <c r="C12" s="9">
        <f>VLOOKUP(A12,Parametros_PNAE!$A$5:$B$11,2,FALSE())</f>
        <v>0.56999999999999995</v>
      </c>
    </row>
    <row r="13" spans="1:3" x14ac:dyDescent="0.25">
      <c r="A13" s="2" t="s">
        <v>7</v>
      </c>
      <c r="B13" s="8">
        <v>0</v>
      </c>
      <c r="C13" s="9">
        <f>VLOOKUP(A13,Parametros_PNAE!$A$5:$B$11,2,FALSE())</f>
        <v>0.56999999999999995</v>
      </c>
    </row>
    <row r="14" spans="1:3" x14ac:dyDescent="0.25">
      <c r="A14" s="2" t="s">
        <v>8</v>
      </c>
      <c r="B14" s="8">
        <v>0</v>
      </c>
      <c r="C14" s="9">
        <f>VLOOKUP(A14,Parametros_PNAE!$A$5:$B$11,2,FALSE())</f>
        <v>0.56999999999999995</v>
      </c>
    </row>
    <row r="15" spans="1:3" x14ac:dyDescent="0.25">
      <c r="A15" s="2" t="s">
        <v>9</v>
      </c>
      <c r="B15" s="8">
        <v>0</v>
      </c>
      <c r="C15" s="9">
        <f>VLOOKUP(A15,Parametros_PNAE!$A$5:$B$11,2,FALSE())</f>
        <v>0.98</v>
      </c>
    </row>
    <row r="16" spans="1:3" x14ac:dyDescent="0.25">
      <c r="A16" s="2" t="s">
        <v>10</v>
      </c>
      <c r="B16" s="8">
        <v>0</v>
      </c>
      <c r="C16" s="9">
        <f>VLOOKUP(A16,Parametros_PNAE!$A$5:$B$11,2,FALSE())</f>
        <v>0.78</v>
      </c>
    </row>
    <row r="17" spans="1:6" x14ac:dyDescent="0.25">
      <c r="A17" s="10" t="s">
        <v>29</v>
      </c>
      <c r="B17" s="11">
        <f>SUM(B10:B16)</f>
        <v>190</v>
      </c>
      <c r="C17" s="12"/>
    </row>
    <row r="19" spans="1:6" x14ac:dyDescent="0.25">
      <c r="A19" s="4" t="s">
        <v>30</v>
      </c>
      <c r="B19" s="13" t="str">
        <f>VLOOKUP(B17,Parametros_PNAE!$A$17:$B$19,2,TRUE())</f>
        <v>Pequena</v>
      </c>
      <c r="C19" s="12"/>
    </row>
    <row r="20" spans="1:6" x14ac:dyDescent="0.25">
      <c r="A20" s="4" t="s">
        <v>31</v>
      </c>
      <c r="B20" s="13">
        <f>Parametros_PNAE!$B$13</f>
        <v>200</v>
      </c>
      <c r="C20" s="12"/>
    </row>
    <row r="21" spans="1:6" x14ac:dyDescent="0.25">
      <c r="A21" s="4" t="s">
        <v>32</v>
      </c>
      <c r="B21" s="14">
        <f>SUMPRODUCT(B10:B16,C10:C16)*B20</f>
        <v>37660</v>
      </c>
      <c r="C21" s="12"/>
    </row>
    <row r="23" spans="1:6" ht="30" customHeight="1" x14ac:dyDescent="0.25">
      <c r="A23" s="49" t="s">
        <v>33</v>
      </c>
      <c r="B23" s="49"/>
      <c r="C23" s="15" t="str">
        <f>IF(AND(B19="Pequena",OR(B10&gt;0,B11&gt;0)),"Sim (regra fictícia de exercício)","Não")</f>
        <v>Sim (regra fictícia de exercício)</v>
      </c>
    </row>
    <row r="24" spans="1:6" ht="25.5" customHeight="1" x14ac:dyDescent="0.25">
      <c r="A24" s="50" t="s">
        <v>34</v>
      </c>
      <c r="B24" s="50"/>
      <c r="C24" s="50"/>
    </row>
    <row r="25" spans="1:6" ht="57" customHeight="1" x14ac:dyDescent="0.25">
      <c r="B25" s="16" t="s">
        <v>35</v>
      </c>
      <c r="C25" s="46" t="s">
        <v>56</v>
      </c>
      <c r="D25" s="46"/>
    </row>
    <row r="26" spans="1:6" ht="15.75" customHeight="1" x14ac:dyDescent="0.25">
      <c r="A26" s="17" t="s">
        <v>37</v>
      </c>
      <c r="B26" s="18" t="s">
        <v>38</v>
      </c>
      <c r="C26" s="19">
        <v>-0.05</v>
      </c>
    </row>
    <row r="27" spans="1:6" ht="25.5" customHeight="1" x14ac:dyDescent="0.25">
      <c r="A27" s="20" t="s">
        <v>2</v>
      </c>
      <c r="B27" s="20" t="s">
        <v>28</v>
      </c>
      <c r="C27" s="21" t="s">
        <v>39</v>
      </c>
      <c r="D27" s="20" t="s">
        <v>3</v>
      </c>
      <c r="F27" s="51" t="s">
        <v>49</v>
      </c>
    </row>
    <row r="28" spans="1:6" x14ac:dyDescent="0.25">
      <c r="A28" s="22" t="s">
        <v>4</v>
      </c>
      <c r="B28" s="23">
        <v>60</v>
      </c>
      <c r="C28" s="24">
        <f t="shared" ref="C28:C34" si="0">B28*(1+$C$26)</f>
        <v>57</v>
      </c>
      <c r="D28" s="25">
        <f t="shared" ref="D28:D34" si="1">C10</f>
        <v>1.57</v>
      </c>
      <c r="F28" s="52"/>
    </row>
    <row r="29" spans="1:6" x14ac:dyDescent="0.25">
      <c r="A29" s="22" t="s">
        <v>5</v>
      </c>
      <c r="B29" s="23">
        <v>80</v>
      </c>
      <c r="C29" s="24">
        <f t="shared" si="0"/>
        <v>76</v>
      </c>
      <c r="D29" s="25">
        <f t="shared" si="1"/>
        <v>0.82</v>
      </c>
    </row>
    <row r="30" spans="1:6" x14ac:dyDescent="0.25">
      <c r="A30" s="22" t="s">
        <v>6</v>
      </c>
      <c r="B30" s="23">
        <v>50</v>
      </c>
      <c r="C30" s="24">
        <f t="shared" si="0"/>
        <v>47.5</v>
      </c>
      <c r="D30" s="25">
        <f t="shared" si="1"/>
        <v>0.56999999999999995</v>
      </c>
    </row>
    <row r="31" spans="1:6" x14ac:dyDescent="0.25">
      <c r="A31" s="22" t="s">
        <v>7</v>
      </c>
      <c r="B31" s="23">
        <v>0</v>
      </c>
      <c r="C31" s="24">
        <f t="shared" si="0"/>
        <v>0</v>
      </c>
      <c r="D31" s="25">
        <f t="shared" si="1"/>
        <v>0.56999999999999995</v>
      </c>
    </row>
    <row r="32" spans="1:6" x14ac:dyDescent="0.25">
      <c r="A32" s="22" t="s">
        <v>8</v>
      </c>
      <c r="B32" s="23">
        <v>0</v>
      </c>
      <c r="C32" s="24">
        <f t="shared" si="0"/>
        <v>0</v>
      </c>
      <c r="D32" s="25">
        <f t="shared" si="1"/>
        <v>0.56999999999999995</v>
      </c>
    </row>
    <row r="33" spans="1:4" x14ac:dyDescent="0.25">
      <c r="A33" s="22" t="s">
        <v>9</v>
      </c>
      <c r="B33" s="23">
        <v>0</v>
      </c>
      <c r="C33" s="24">
        <f t="shared" si="0"/>
        <v>0</v>
      </c>
      <c r="D33" s="25">
        <f t="shared" si="1"/>
        <v>0.98</v>
      </c>
    </row>
    <row r="34" spans="1:4" x14ac:dyDescent="0.25">
      <c r="A34" s="22" t="s">
        <v>10</v>
      </c>
      <c r="B34" s="23">
        <v>0</v>
      </c>
      <c r="C34" s="24">
        <f t="shared" si="0"/>
        <v>0</v>
      </c>
      <c r="D34" s="25">
        <f t="shared" si="1"/>
        <v>0.78</v>
      </c>
    </row>
    <row r="35" spans="1:4" x14ac:dyDescent="0.25">
      <c r="A35" s="26" t="s">
        <v>40</v>
      </c>
      <c r="B35" s="27">
        <f>SUM(B28:B34)</f>
        <v>190</v>
      </c>
      <c r="C35" s="27">
        <f>SUM(C28:C34)</f>
        <v>180.5</v>
      </c>
      <c r="D35" s="28">
        <f>SUMPRODUCT(C28:C34,D28:D34)*B20</f>
        <v>35777</v>
      </c>
    </row>
    <row r="37" spans="1:4" ht="15" customHeight="1" x14ac:dyDescent="0.25">
      <c r="A37" s="47" t="s">
        <v>41</v>
      </c>
      <c r="B37" s="47"/>
      <c r="C37" s="47"/>
    </row>
    <row r="38" spans="1:4" x14ac:dyDescent="0.25">
      <c r="A38" s="47"/>
      <c r="B38" s="47"/>
      <c r="C38" s="47"/>
    </row>
    <row r="39" spans="1:4" x14ac:dyDescent="0.25">
      <c r="A39" s="20" t="s">
        <v>42</v>
      </c>
      <c r="B39" s="29">
        <f>C35</f>
        <v>180.5</v>
      </c>
      <c r="C39" s="30">
        <f>D35</f>
        <v>35777</v>
      </c>
    </row>
    <row r="40" spans="1:4" x14ac:dyDescent="0.25">
      <c r="A40" s="31">
        <v>-0.2</v>
      </c>
      <c r="B40" s="24">
        <v>152</v>
      </c>
      <c r="C40" s="32">
        <v>30128</v>
      </c>
    </row>
    <row r="41" spans="1:4" x14ac:dyDescent="0.25">
      <c r="A41" s="31">
        <v>-0.15</v>
      </c>
      <c r="B41" s="24">
        <v>161.5</v>
      </c>
      <c r="C41" s="32">
        <v>32011</v>
      </c>
    </row>
    <row r="42" spans="1:4" x14ac:dyDescent="0.25">
      <c r="A42" s="31">
        <v>-0.1</v>
      </c>
      <c r="B42" s="24">
        <v>171</v>
      </c>
      <c r="C42" s="32">
        <v>33894</v>
      </c>
    </row>
    <row r="43" spans="1:4" x14ac:dyDescent="0.25">
      <c r="A43" s="31">
        <v>-0.05</v>
      </c>
      <c r="B43" s="24">
        <v>180.5</v>
      </c>
      <c r="C43" s="32">
        <v>35777</v>
      </c>
    </row>
    <row r="44" spans="1:4" x14ac:dyDescent="0.25">
      <c r="A44" s="33">
        <v>0</v>
      </c>
      <c r="B44" s="34">
        <v>190</v>
      </c>
      <c r="C44" s="35">
        <v>37660</v>
      </c>
    </row>
    <row r="45" spans="1:4" x14ac:dyDescent="0.25">
      <c r="A45" s="31">
        <v>0.05</v>
      </c>
      <c r="B45" s="24">
        <v>199.5</v>
      </c>
      <c r="C45" s="32">
        <v>39543</v>
      </c>
    </row>
    <row r="46" spans="1:4" x14ac:dyDescent="0.25">
      <c r="A46" s="31">
        <v>0.1</v>
      </c>
      <c r="B46" s="24">
        <v>209</v>
      </c>
      <c r="C46" s="32">
        <v>41426</v>
      </c>
    </row>
    <row r="47" spans="1:4" x14ac:dyDescent="0.25">
      <c r="A47" s="31">
        <v>0.15</v>
      </c>
      <c r="B47" s="24">
        <v>218.5</v>
      </c>
      <c r="C47" s="32">
        <v>43309</v>
      </c>
    </row>
    <row r="48" spans="1:4" x14ac:dyDescent="0.25">
      <c r="A48" s="31">
        <v>0.2</v>
      </c>
      <c r="B48" s="24">
        <v>228</v>
      </c>
      <c r="C48" s="32">
        <v>45192</v>
      </c>
    </row>
  </sheetData>
  <mergeCells count="7"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8"/>
  <sheetViews>
    <sheetView zoomScaleNormal="100" workbookViewId="0">
      <selection activeCell="F12" sqref="F12"/>
    </sheetView>
  </sheetViews>
  <sheetFormatPr defaultColWidth="8.7109375" defaultRowHeight="15" x14ac:dyDescent="0.25"/>
  <cols>
    <col min="1" max="1" width="6" customWidth="1"/>
    <col min="2" max="2" width="18" customWidth="1"/>
    <col min="3" max="3" width="16" customWidth="1"/>
    <col min="4" max="4" width="40" customWidth="1"/>
    <col min="5" max="5" width="26" customWidth="1"/>
    <col min="6" max="6" width="20" customWidth="1"/>
  </cols>
  <sheetData>
    <row r="1" spans="1:7" ht="16.5" x14ac:dyDescent="0.25">
      <c r="A1" s="36" t="s">
        <v>43</v>
      </c>
    </row>
    <row r="2" spans="1:7" x14ac:dyDescent="0.25">
      <c r="A2" s="41" t="s">
        <v>44</v>
      </c>
    </row>
    <row r="4" spans="1:7" ht="30" x14ac:dyDescent="0.25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  <c r="G4" s="53" t="s">
        <v>50</v>
      </c>
    </row>
    <row r="5" spans="1:7" x14ac:dyDescent="0.25">
      <c r="A5">
        <v>1</v>
      </c>
      <c r="B5" s="38">
        <v>46283.617858796293</v>
      </c>
      <c r="C5" s="39">
        <v>0.2</v>
      </c>
      <c r="D5" t="s">
        <v>36</v>
      </c>
      <c r="E5">
        <v>228</v>
      </c>
      <c r="F5" s="40">
        <v>45191.999999999993</v>
      </c>
    </row>
    <row r="6" spans="1:7" x14ac:dyDescent="0.25">
      <c r="A6">
        <v>2</v>
      </c>
      <c r="B6" s="54">
        <v>46293.334583333337</v>
      </c>
      <c r="C6" s="39">
        <v>0</v>
      </c>
      <c r="D6" t="s">
        <v>36</v>
      </c>
      <c r="E6">
        <v>190</v>
      </c>
      <c r="F6" s="40">
        <v>37660</v>
      </c>
      <c r="G6" t="s">
        <v>51</v>
      </c>
    </row>
    <row r="7" spans="1:7" x14ac:dyDescent="0.25">
      <c r="A7">
        <v>3</v>
      </c>
      <c r="B7" s="54">
        <v>46293.335625</v>
      </c>
      <c r="C7" s="39">
        <v>-0.05</v>
      </c>
      <c r="D7" t="s">
        <v>52</v>
      </c>
      <c r="E7">
        <v>180.5</v>
      </c>
      <c r="F7" s="40">
        <v>35777</v>
      </c>
      <c r="G7" t="s">
        <v>53</v>
      </c>
    </row>
    <row r="8" spans="1:7" x14ac:dyDescent="0.25">
      <c r="A8">
        <v>4</v>
      </c>
      <c r="B8" s="54">
        <v>46293.336412037039</v>
      </c>
      <c r="C8" s="39">
        <v>0.1</v>
      </c>
      <c r="D8" t="s">
        <v>54</v>
      </c>
      <c r="E8">
        <v>209</v>
      </c>
      <c r="F8" s="40">
        <v>41426</v>
      </c>
      <c r="G8" t="s">
        <v>55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Parametros_PNAE</vt:lpstr>
      <vt:lpstr>Simulador_Escola</vt:lpstr>
      <vt:lpstr>Banco_de_Dados</vt:lpstr>
      <vt:lpstr>Gráfico1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JAMILLY CARDOSO BARROS</cp:lastModifiedBy>
  <cp:revision>0</cp:revision>
  <dcterms:created xsi:type="dcterms:W3CDTF">2026-08-19T11:20:05Z</dcterms:created>
  <dcterms:modified xsi:type="dcterms:W3CDTF">2026-09-28T11:07:00Z</dcterms:modified>
  <dc:language>en-US</dc:language>
</cp:coreProperties>
</file>
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mil\Downloads\"/>
    </mc:Choice>
  </mc:AlternateContent>
  <xr:revisionPtr revIDLastSave="0" documentId="8_{3AF80768-2B9C-4EC3-A6D4-1A71E98D7C63}" xr6:coauthVersionLast="47" xr6:coauthVersionMax="47" xr10:uidLastSave="{00000000-0000-0000-0000-000000000000}"/>
  <bookViews>
    <workbookView xWindow="-120" yWindow="-120" windowWidth="20730" windowHeight="11040" tabRatio="500" firstSheet="1" activeTab="2" xr2:uid="{00000000-000D-0000-FFFF-FFFF00000000}"/>
  </bookViews>
  <sheets>
    <sheet name="Parametros_PNAE" sheetId="1" r:id="rId1"/>
    <sheet name="Gráfico1" sheetId="4" r:id="rId2"/>
    <sheet name="Simulador_Escola" sheetId="2" r:id="rId3"/>
    <sheet name="Banco_de_Dados" sheetId="3" r:id="rId4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<sst xmlns="http://schemas.openxmlformats.org/spreadsheetml/2006/main" count="78" uniqueCount="56">
  <si>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</si>
  <si>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</si>
  <si>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</si>
  <si>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</si>
  <si>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</si>
  <si>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</si>
  <si>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</si>
  <si>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</si>
  <si>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</si>
  <si>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</si>
  <si>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</si>
  <si>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</si>
  <si>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</si>
  <si>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</si>
  <si>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</si>
  <si>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</si>
  <si>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</si>
  <si>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</si>
  <si>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</si>
  <si>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</si>
  <si>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</si>
  <si>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</si>
  <si>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</si>
  <si>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</si>
  <si>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</si>
  <si>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</si>
  <si>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</si>
  <si>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</si>
  <si>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</si>
  <si>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</si>
  <si>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</si>
  <si>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</si>
  <si>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</si>
  <si>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</si>
  <si>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</si>
  <si>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</si>
  <si>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</si>
  <si>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</si>
  <si>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</si>
  <si>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</si>
  <si>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</si>
  <si>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</si>
  <si>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</si>
  <si>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</si>
  <si>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</si>
  <si>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</si>
  <si>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</si>
  <si>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</si>
  <si>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</si>
  <si>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</si>
  <si>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>usuario</t>
  </si>
  <si>
    <t>Clarinha</t>
  </si>
  <si>
    <t>Acho que haverá uma redução de 5% no próximo ano</t>
  </si>
  <si>
    <t>Jamilly</t>
  </si>
  <si>
    <t>Nova creche no bairro</t>
  </si>
  <si>
    <t>Karina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</si>
</sst>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6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3" fillId="2" borderId="9" xfId="0" applyFont="1" applyFill="1" applyBorder="1" applyAlignment="1">
      <alignment horizontal="center" vertical="center" wrapText="1"/>
    </xf>
    <xf numFmtId="0" fontId="0" fillId="10" borderId="0" xfId="0" applyFill="1"/>
    <xf numFmtId="0" fontId="14" fillId="9" borderId="10" xfId="0" applyFont="1" applyFill="1" applyBorder="1" applyAlignment="1">
      <alignment horizontal="center" vertical="center" wrapText="1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Simulador_Escola!$F$27</c:f>
              <c:strCache>
                <c:ptCount val="1"/>
                <c:pt idx="0">
                  <c:v>Usuário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Simulador_Escola!$F$28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A30-46AE-9ADD-70E4BE182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7864992"/>
        <c:axId val="2049095984"/>
      </c:barChart>
      <c:catAx>
        <c:axId val="2047864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9095984"/>
        <c:crosses val="autoZero"/>
        <c:auto val="1"/>
        <c:lblAlgn val="ctr"/>
        <c:lblOffset val="100"/>
        <c:noMultiLvlLbl val="0"/>
      </c:catAx>
      <c:valAx>
        <c:axId val="204909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786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01A796-6748-4E8C-A5C5-97B23A8739BE}">
  <sheetPr codeName="Gráfico1"/>
  <sheetViews>
    <sheetView zoomScale="7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3857" cy="60007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8F93A3D-4EEA-608F-C4F2-891967350D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topLeftCell="A8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2" t="s">
        <v>0</v>
      </c>
      <c r="B1" s="42"/>
    </row>
    <row r="2" spans="1:2" ht="62.25" customHeight="1" x14ac:dyDescent="0.25">
      <c r="A2" s="43" t="s">
        <v>1</v>
      </c>
      <c r="B2" s="43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4" t="s">
        <v>12</v>
      </c>
      <c r="B15" s="44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abSelected="1" topLeftCell="A20" zoomScaleNormal="100" workbookViewId="0">
      <selection activeCell="C27" sqref="C27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8" t="s">
        <v>19</v>
      </c>
      <c r="B1" s="48"/>
      <c r="C1" s="48"/>
    </row>
    <row r="2" spans="1:3" ht="39.75" customHeight="1" x14ac:dyDescent="0.25">
      <c r="A2" s="43" t="s">
        <v>20</v>
      </c>
      <c r="B2" s="43"/>
      <c r="C2" s="43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4" t="s">
        <v>27</v>
      </c>
      <c r="B8" s="44"/>
      <c r="C8" s="44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6" x14ac:dyDescent="0.25">
      <c r="A17" s="10" t="s">
        <v>29</v>
      </c>
      <c r="B17" s="11">
        <f>SUM(B10:B16)</f>
        <v>190</v>
      </c>
      <c r="C17" s="12"/>
    </row>
    <row r="19" spans="1:6" x14ac:dyDescent="0.25">
      <c r="A19" s="4" t="s">
        <v>30</v>
      </c>
      <c r="B19" s="13" t="str">
        <f>VLOOKUP(B17,Parametros_PNAE!$A$17:$B$19,2,TRUE())</f>
        <v>Pequena</v>
      </c>
      <c r="C19" s="12"/>
    </row>
    <row r="20" spans="1:6" x14ac:dyDescent="0.25">
      <c r="A20" s="4" t="s">
        <v>31</v>
      </c>
      <c r="B20" s="13">
        <f>Parametros_PNAE!$B$13</f>
        <v>200</v>
      </c>
      <c r="C20" s="12"/>
    </row>
    <row r="21" spans="1:6" x14ac:dyDescent="0.25">
      <c r="A21" s="4" t="s">
        <v>32</v>
      </c>
      <c r="B21" s="14">
        <f>SUMPRODUCT(B10:B16,C10:C16)*B20</f>
        <v>37660</v>
      </c>
      <c r="C21" s="12"/>
    </row>
    <row r="23" spans="1:6" ht="30" customHeight="1" x14ac:dyDescent="0.2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6" ht="25.5" customHeight="1" x14ac:dyDescent="0.25">
      <c r="A24" s="50" t="s">
        <v>34</v>
      </c>
      <c r="B24" s="50"/>
      <c r="C24" s="50"/>
    </row>
    <row r="25" spans="1:6" ht="57" customHeight="1" x14ac:dyDescent="0.25">
      <c r="B25" s="16" t="s">
        <v>35</v>
      </c>
      <c r="C25" s="46"/>
      <c r="D25" s="46"/>
    </row>
    <row r="26" spans="1:6" ht="15.75" customHeight="1" x14ac:dyDescent="0.25">
      <c r="A26" s="17" t="s">
        <v>37</v>
      </c>
      <c r="B26" s="18" t="s">
        <v>38</v>
      </c>
      <c r="C26" s="19">
        <v>0</v>
      </c>
    </row>
    <row r="27" spans="1:6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  <c r="F27" s="51" t="s">
        <v>49</v>
      </c>
    </row>
    <row r="28" spans="1:6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  <c r="F28" s="52"/>
    </row>
    <row r="29" spans="1:6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6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6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6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7" t="s">
        <v>41</v>
      </c>
      <c r="B37" s="47"/>
      <c r="C37" s="47"/>
    </row>
    <row r="38" spans="1:4" x14ac:dyDescent="0.25">
      <c r="A38" s="47"/>
      <c r="B38" s="47"/>
      <c r="C38" s="47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8"/>
  <sheetViews>
    <sheetView zoomScaleNormal="100" workbookViewId="0">
      <selection activeCell="F12" sqref="F12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0" customWidth="1"/>
    <col min="5" max="5" width="26" customWidth="1"/>
    <col min="6" max="6" width="20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3" t="s">
        <v>50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25">
      <c r="A6">
        <v>2</v>
      </c>
      <c r="B6" s="54">
        <v>46293.334583333337</v>
      </c>
      <c r="C6" s="39">
        <v>0</v>
      </c>
      <c r="D6" t="s">
        <v>36</v>
      </c>
      <c r="E6">
        <v>190</v>
      </c>
      <c r="F6" s="40">
        <v>37660</v>
      </c>
      <c r="G6" t="s">
        <v>51</v>
      </c>
    </row>
    <row r="7" spans="1:7" x14ac:dyDescent="0.25">
      <c r="A7">
        <v>3</v>
      </c>
      <c r="B7" s="54">
        <v>46293.335625</v>
      </c>
      <c r="C7" s="39">
        <v>-0.05</v>
      </c>
      <c r="D7" t="s">
        <v>52</v>
      </c>
      <c r="E7">
        <v>180.5</v>
      </c>
      <c r="F7" s="40">
        <v>35777</v>
      </c>
      <c r="G7" t="s">
        <v>53</v>
      </c>
    </row>
    <row r="8" spans="1:7" x14ac:dyDescent="0.25">
      <c r="A8">
        <v>4</v>
      </c>
      <c r="B8" s="54">
        <v>46293.336412037039</v>
      </c>
      <c r="C8" s="39">
        <v>0.1</v>
      </c>
      <c r="D8" t="s">
        <v>54</v>
      </c>
      <c r="E8">
        <v>209</v>
      </c>
      <c r="F8" s="40">
        <v>41426</v>
      </c>
      <c r="G8" t="s">
        <v>55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Parametros_PNAE</vt:lpstr>
      <vt:lpstr>Simulador_Escola</vt:lpstr>
      <vt:lpstr>Banco_de_Dados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JAMILLY CARDOSO BARROS</cp:lastModifiedBy>
  <cp:revision>0</cp:revision>
  <dcterms:created xsi:type="dcterms:W3CDTF">2026-08-19T11:20:05Z</dcterms:created>
  <dcterms:modified xsi:type="dcterms:W3CDTF">2026-09-28T11:21:02Z</dcterms:modified>
  <dc:language>en-US</dc:language>
</cp:coreProperties>
</file>
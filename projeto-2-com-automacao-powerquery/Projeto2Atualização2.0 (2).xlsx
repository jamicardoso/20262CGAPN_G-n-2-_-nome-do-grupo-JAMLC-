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1EB64B4-DF18-4457-9765-E0A5CD212BBA}" xr6:coauthVersionLast="47" xr6:coauthVersionMax="47" xr10:uidLastSave="{00000000-0000-0000-0000-000000000000}"/>
  <bookViews>
    <workbookView xWindow="-108" yWindow="-108" windowWidth="23256" windowHeight="12456" firstSheet="1" activeTab="1" xr2:uid="{B8949848-948A-45C4-9D67-D50BBCECDB6C}"/>
  </bookViews>
  <sheets>
    <sheet name="Situacao" sheetId="6" r:id="rId1"/>
    <sheet name="Dashboard" sheetId="13" r:id="rId2"/>
    <sheet name="Dinâmicas" sheetId="12" r:id="rId3"/>
    <sheet name="Microdados" sheetId="5" r:id="rId4"/>
    <sheet name="Filtro_Municipio" sheetId="11" r:id="rId5"/>
    <sheet name="Mudar Município" sheetId="10" r:id="rId6"/>
    <sheet name="LocDiferenciada" sheetId="4" r:id="rId7"/>
    <sheet name="Localizacao" sheetId="3" r:id="rId8"/>
    <sheet name="Dependencia" sheetId="2" r:id="rId9"/>
    <sheet name="Planilha1" sheetId="1" r:id="rId10"/>
  </sheets>
  <definedNames>
    <definedName name="DadosExternos_1" localSheetId="8" hidden="1">Dependencia!$A$1:$B$5</definedName>
    <definedName name="DadosExternos_1" localSheetId="4" hidden="1">Filtro_Municipio!$A$1:$B$2</definedName>
    <definedName name="DadosExternos_2" localSheetId="7" hidden="1">Localizacao!$A$1:$B$3</definedName>
    <definedName name="DadosExternos_3" localSheetId="6" hidden="1">LocDiferenciada!$A$1:$B$6</definedName>
    <definedName name="DadosExternos_4" localSheetId="3" hidden="1">Microdados!$A$1:$BP$33</definedName>
    <definedName name="DadosExternos_5" localSheetId="0" hidden="1">Situacao!$A$1:$B$5</definedName>
    <definedName name="SegmentaçãodeDados_Dependencia.DEPENDENCIA">#N/A</definedName>
    <definedName name="SegmentaçãodeDados_Localizacao.LOCALIZACAO">#N/A</definedName>
    <definedName name="SegmentaçãodeDados_LocDiferenciada.LOC_DIFERENCIADA">#N/A</definedName>
    <definedName name="SegmentaçãodeDados_Situacao.SITUACAO">#N/A</definedName>
  </definedNames>
  <calcPr calcId="191029"/>
  <pivotCaches>
    <pivotCache cacheId="19" r:id="rId11"/>
    <pivotCache cacheId="3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8253C-AF47-45EE-ABD2-0D178488CA6B}" keepAlive="1" name="Consulta - Dependencia" description="Conexão com a consulta 'Dependencia' na pasta de trabalho." type="5" refreshedVersion="8" background="1" saveData="1">
    <dbPr connection="Provider=Microsoft.Mashup.OleDb.1;Data Source=$Workbook$;Location=Dependencia;Extended Properties=&quot;&quot;" command="SELECT * FROM [Dependencia]"/>
  </connection>
  <connection id="2" xr16:uid="{C74CB678-5723-4413-AC5A-4B35119AFDC5}" keepAlive="1" name="Consulta - Erros em Microdados" description="Conexão com a consulta 'Erros em Microdados' na pasta de trabalho." type="5" refreshedVersion="0" background="1">
    <dbPr connection="Provider=Microsoft.Mashup.OleDb.1;Data Source=$Workbook$;Location=&quot;Erros em Microdados&quot;;Extended Properties=&quot;&quot;" command="SELECT * FROM [Erros em Microdados]"/>
  </connection>
  <connection id="3" xr16:uid="{12B731E7-950B-47A1-8D62-EBE8D5BF3049}" keepAlive="1" name="Consulta - Filtro_Municipio" description="Conexão com a consulta 'Filtro_Municipio' na pasta de trabalho." type="5" refreshedVersion="8" background="1" saveData="1">
    <dbPr connection="Provider=Microsoft.Mashup.OleDb.1;Data Source=$Workbook$;Location=Filtro_Municipio;Extended Properties=&quot;&quot;" command="SELECT * FROM [Filtro_Municipio]"/>
  </connection>
  <connection id="4" xr16:uid="{070BDCAE-9CEF-4C88-8AD8-E69C18062ADA}" keepAlive="1" name="Consulta - Localizacao" description="Conexão com a consulta 'Localizacao' na pasta de trabalho." type="5" refreshedVersion="8" background="1" saveData="1">
    <dbPr connection="Provider=Microsoft.Mashup.OleDb.1;Data Source=$Workbook$;Location=Localizacao;Extended Properties=&quot;&quot;" command="SELECT * FROM [Localizacao]"/>
  </connection>
  <connection id="5" xr16:uid="{A0049646-255D-4C8C-BE45-FE063B288EED}" keepAlive="1" name="Consulta - LocDiferenciada" description="Conexão com a consulta 'LocDiferenciada' na pasta de trabalho." type="5" refreshedVersion="8" background="1" saveData="1">
    <dbPr connection="Provider=Microsoft.Mashup.OleDb.1;Data Source=$Workbook$;Location=LocDiferenciada;Extended Properties=&quot;&quot;" command="SELECT * FROM [LocDiferenciada]"/>
  </connection>
  <connection id="6" xr16:uid="{A795ADF6-2DD4-48EF-924C-D62410760836}" keepAlive="1" name="Consulta - Microdados" description="Conexão com a consulta 'Microdados' na pasta de trabalho." type="5" refreshedVersion="8" saveData="1">
    <dbPr connection="Provider=Microsoft.Mashup.OleDb.1;Data Source=$Workbook$;Location=Microdados;Extended Properties=&quot;&quot;" command="SELECT * FROM [Microdados]"/>
  </connection>
  <connection id="7" xr16:uid="{908EFE4C-E654-4067-872F-BB6F51F706EE}" keepAlive="1" name="Consulta - Situacao" description="Conexão com a consulta 'Situacao' na pasta de trabalho." type="5" refreshedVersion="8" background="1" saveData="1">
    <dbPr connection="Provider=Microsoft.Mashup.OleDb.1;Data Source=$Workbook$;Location=Situacao;Extended Properties=&quot;&quot;" command="SELECT * FROM [Situacao]"/>
  </connection>
</connections>
</file>

<file path=xl/sharedStrings.xml><?xml version="1.0" encoding="utf-8"?>
<sst xmlns="http://schemas.openxmlformats.org/spreadsheetml/2006/main" count="650" uniqueCount="208">
  <si>
    <t xml:space="preserve"> </t>
  </si>
  <si>
    <t>TP_DEPENDENCIA</t>
  </si>
  <si>
    <t>DEPENDENCIA</t>
  </si>
  <si>
    <t>Federal</t>
  </si>
  <si>
    <t>Estadual</t>
  </si>
  <si>
    <t>Municipal</t>
  </si>
  <si>
    <t>Privada</t>
  </si>
  <si>
    <t>TP_LOCALIZACAO</t>
  </si>
  <si>
    <t>LOCALIZACAO</t>
  </si>
  <si>
    <t>Urbana</t>
  </si>
  <si>
    <t>Rural</t>
  </si>
  <si>
    <t>TP_LOCALIZACAO_DIFERENCIADA</t>
  </si>
  <si>
    <t>LOC_DIFERENCIADA</t>
  </si>
  <si>
    <t>Não</t>
  </si>
  <si>
    <t>Assentamento</t>
  </si>
  <si>
    <t>Terra indígena</t>
  </si>
  <si>
    <t>Comunidade quilombola</t>
  </si>
  <si>
    <t>Comunidades tradicionais</t>
  </si>
  <si>
    <t>TP_SITUACAO_FUNCIONAMENTO</t>
  </si>
  <si>
    <t>SITUACAO</t>
  </si>
  <si>
    <t>Ativa</t>
  </si>
  <si>
    <t>Inativa</t>
  </si>
  <si>
    <t>NO_REGIAO</t>
  </si>
  <si>
    <t>NO_UF</t>
  </si>
  <si>
    <t>SG_UF</t>
  </si>
  <si>
    <t>CO_UF</t>
  </si>
  <si>
    <t>NO_MUNICIPIO</t>
  </si>
  <si>
    <t>CO_MUNICIPIO</t>
  </si>
  <si>
    <t>Dependencia.DEPENDENCIA</t>
  </si>
  <si>
    <t>NO_ENTIDADE</t>
  </si>
  <si>
    <t>CO_ENTIDADE</t>
  </si>
  <si>
    <t>DS_ENDERECO</t>
  </si>
  <si>
    <t>NU_ENDERECO</t>
  </si>
  <si>
    <t>DS_COMPLEMENTO</t>
  </si>
  <si>
    <t>NO_BAIRRO</t>
  </si>
  <si>
    <t>CO_CEP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</si>
  <si>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</si>
  <si>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</si>
  <si>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</si>
  <si>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</si>
  <si>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</si>
  <si>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</si>
  <si>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</si>
  <si>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</si>
  <si>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</si>
  <si>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</si>
  <si>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</si>
  <si>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</si>
  <si>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</si>
  <si>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</si>
  <si>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</si>
  <si>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</si>
  <si>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</si>
  <si>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</si>
  <si>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</si>
  <si>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</si>
  <si>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</si>
  <si>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QT_MAT_BAS</t>
  </si>
  <si>
    <t>QT_MAT_INF</t>
  </si>
  <si>
    <t>QT_MAT_FUND</t>
  </si>
  <si>
    <t>QT_MAT_MED</t>
  </si>
  <si>
    <t>QT_MAT_PROF</t>
  </si>
  <si>
    <t>QT_MAT_EJA</t>
  </si>
  <si>
    <t>QT_MAT_ESP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</si>
  <si>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</si>
  <si>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</si>
  <si>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</si>
  <si>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</si>
  <si>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</si>
  <si>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</si>
  <si>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</si>
  <si>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</si>
  <si>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</si>
  <si>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</si>
  <si>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</si>
  <si>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</si>
  <si>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</si>
  <si>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</si>
  <si>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Localizacao.LOCALIZACAO</t>
  </si>
  <si>
    <t>LocDiferenciada.LOC_DIFERENCIADA</t>
  </si>
  <si>
    <t>Situacao.SITUACAO</t>
  </si>
  <si>
    <t>Tamanho_Escola</t>
  </si>
  <si>
    <t>Infraestrutura_Agua</t>
  </si>
  <si>
    <t>Infraestrutura_Energia</t>
  </si>
  <si>
    <t>Infraestrutura_Esgoto</t>
  </si>
  <si>
    <t>Infraestrutura_Lixo</t>
  </si>
  <si>
    <t>Norte</t>
  </si>
  <si>
    <t>Rondônia</t>
  </si>
  <si>
    <t>RO</t>
  </si>
  <si>
    <t>Alta Floresta D'Oeste</t>
  </si>
  <si>
    <t>EIEEF HAP BITT TUPARI</t>
  </si>
  <si>
    <t>TERRA INDIGENA RIO BRANCO</t>
  </si>
  <si>
    <t>ALDEIA COLORADO</t>
  </si>
  <si>
    <t>RURAL</t>
  </si>
  <si>
    <t>Microescola</t>
  </si>
  <si>
    <t>Poço Artesiano</t>
  </si>
  <si>
    <t>Energia Renovável</t>
  </si>
  <si>
    <t>Esgoto Fossa</t>
  </si>
  <si>
    <t>Lixo Enterra</t>
  </si>
  <si>
    <t>CEEJA LUIZ VAZ DE CAMOES</t>
  </si>
  <si>
    <t>AVENIDA RIO DE JANEIRO</t>
  </si>
  <si>
    <t>4776</t>
  </si>
  <si>
    <t>ESCOLA</t>
  </si>
  <si>
    <t>CIDADE ALTA</t>
  </si>
  <si>
    <t>Pequena</t>
  </si>
  <si>
    <t>Rede Pública</t>
  </si>
  <si>
    <t>Serviço de Coleta</t>
  </si>
  <si>
    <t>EEEFM EURIDICE LOPES PEDROSO</t>
  </si>
  <si>
    <t>AVENIDA MATO GROSSO</t>
  </si>
  <si>
    <t>3861</t>
  </si>
  <si>
    <t>CENTRO</t>
  </si>
  <si>
    <t>Grande</t>
  </si>
  <si>
    <t>EMEIEF BOA ESPERANCA</t>
  </si>
  <si>
    <t>LINHA P 50 KM 22</t>
  </si>
  <si>
    <t>ZONA RURAL</t>
  </si>
  <si>
    <t>LINHA P.50</t>
  </si>
  <si>
    <t>Queima</t>
  </si>
  <si>
    <t>EMEIEF JOSE BASILIO DA GAMA</t>
  </si>
  <si>
    <t>LINHA 42,5 KM 17</t>
  </si>
  <si>
    <t>EMMEF 7 DE SETEMBRO</t>
  </si>
  <si>
    <t>LINHA 60 COM A 140</t>
  </si>
  <si>
    <t>EEEMTI JUSCELINO KUBITSCHEK DE OLIVEIRA</t>
  </si>
  <si>
    <t>AVENIDA AMAPA</t>
  </si>
  <si>
    <t>4503</t>
  </si>
  <si>
    <t>SANTA FELICIDADE</t>
  </si>
  <si>
    <t>Média</t>
  </si>
  <si>
    <t>EMMEF MALBA TAHAN</t>
  </si>
  <si>
    <t>LINHA 95 COM 140</t>
  </si>
  <si>
    <t>EMMEF MARTIM AFONSO DE SOUZA</t>
  </si>
  <si>
    <t>LINHA 50 COM A 134</t>
  </si>
  <si>
    <t>EMEIEF PEDRO ALEIXO</t>
  </si>
  <si>
    <t>LINHA 148 COM A 65 KM 38</t>
  </si>
  <si>
    <t>EMEIEF POTY</t>
  </si>
  <si>
    <t>LINHA 60 COM A 156</t>
  </si>
  <si>
    <t>KM 18</t>
  </si>
  <si>
    <t>EMMEF SAO JORGE</t>
  </si>
  <si>
    <t>LINHA 156 COM A 85 ESQUINA COM A 90 KM 53</t>
  </si>
  <si>
    <t>EEEF TANCREDO DE ALMEIDA NEVES</t>
  </si>
  <si>
    <t>AVENIDA ALTA FLORESTA</t>
  </si>
  <si>
    <t>2973</t>
  </si>
  <si>
    <t>PRINCESA IZABEL</t>
  </si>
  <si>
    <t>COLEGIO TIRADENTES DA POLICIA MILITAR - CTPM XI</t>
  </si>
  <si>
    <t>RUA NEREU RAMOS</t>
  </si>
  <si>
    <t>4581</t>
  </si>
  <si>
    <t>REDONDO</t>
  </si>
  <si>
    <t>EMEIEF FLORESTA ENCANTADA</t>
  </si>
  <si>
    <t>AV. BAHIA</t>
  </si>
  <si>
    <t>4598</t>
  </si>
  <si>
    <t>EIEEFM KON KOATT TUPARI</t>
  </si>
  <si>
    <t>S/N</t>
  </si>
  <si>
    <t>ALDEIA CAJUI</t>
  </si>
  <si>
    <t>Cacimba</t>
  </si>
  <si>
    <t>EIEEF SAW D JO TUPARI</t>
  </si>
  <si>
    <t>RESERVA BIOLOGICA VALE DO GUAPORE</t>
  </si>
  <si>
    <t>ALDEIA PALHAL</t>
  </si>
  <si>
    <t>EIEEFM BOATT GERAINNY</t>
  </si>
  <si>
    <t>ALDEIA SAO LUIZ</t>
  </si>
  <si>
    <t>CRECHE MUNICIPAL CANTINHO DA ALEGRIA</t>
  </si>
  <si>
    <t>RUA TERESINA</t>
  </si>
  <si>
    <t>Nº 7802</t>
  </si>
  <si>
    <t>PREDIO</t>
  </si>
  <si>
    <t>EIEEF MEKITOM TUPARI</t>
  </si>
  <si>
    <t>ALDEIA POCAO</t>
  </si>
  <si>
    <t>Energia Inexistente</t>
  </si>
  <si>
    <t>EIEEF AMEN KOARE TUPARI</t>
  </si>
  <si>
    <t>ALDEIA FIGUEIRA</t>
  </si>
  <si>
    <t>EIEEFM ANOMAE TUPARI</t>
  </si>
  <si>
    <t>ALDEIA SERRINHA</t>
  </si>
  <si>
    <t>CENTRO EDUCACIONAL DR ANTONIO LAZARO DE MOURA</t>
  </si>
  <si>
    <t>AV MINAS GERAIS ESQUINA COM A FORTALEZA</t>
  </si>
  <si>
    <t>4405</t>
  </si>
  <si>
    <t>EMEI MONTEIRO LOBATO</t>
  </si>
  <si>
    <t>RUA ACRE ESQUINA COM AVENIDA NILO PECANHA</t>
  </si>
  <si>
    <t>4357</t>
  </si>
  <si>
    <t>EMEIEF 17 DE JUNHO</t>
  </si>
  <si>
    <t>AVENIDA BRASIL</t>
  </si>
  <si>
    <t>2934</t>
  </si>
  <si>
    <t>EMMEF HERBERT JOSE DE SOUSA</t>
  </si>
  <si>
    <t>LINHA 144 KM 50</t>
  </si>
  <si>
    <t>SN</t>
  </si>
  <si>
    <t>EMEF MARIOMA PEREIRA DA SILVA</t>
  </si>
  <si>
    <t>RUA FORTALEZA</t>
  </si>
  <si>
    <t>4321</t>
  </si>
  <si>
    <t>CRECHE MUNICIPAL HEITOR MOREIRA UGOLINI</t>
  </si>
  <si>
    <t>RUA TANCREDO NEVES</t>
  </si>
  <si>
    <t>4849</t>
  </si>
  <si>
    <t>EMEIEF PADRE FEIJO</t>
  </si>
  <si>
    <t>LINHA 105 COM A 152</t>
  </si>
  <si>
    <t>DISTR. DE FILADELFIA</t>
  </si>
  <si>
    <t>EMEIEF IZIDORO STEDILE</t>
  </si>
  <si>
    <t>LINHA 138 KM 100</t>
  </si>
  <si>
    <t>DISTRITO</t>
  </si>
  <si>
    <t>IZIDOLANDIA</t>
  </si>
  <si>
    <t>EMEIEF MARIA DE SOUZA PEGO</t>
  </si>
  <si>
    <t>LINHA 47,5</t>
  </si>
  <si>
    <t>EMEIEF ANA NERY</t>
  </si>
  <si>
    <t>ROLIM DE MOURA DO GUAPORE</t>
  </si>
  <si>
    <t xml:space="preserve">Município </t>
  </si>
  <si>
    <t>Sigla do Estado (UF)</t>
  </si>
  <si>
    <t>Rótulos de Linha</t>
  </si>
  <si>
    <t>(vazio)</t>
  </si>
  <si>
    <t>Total Geral</t>
  </si>
  <si>
    <t>Contagem de Tamanho_Escola</t>
  </si>
  <si>
    <t>Contagem de Infraestrutura_Agua</t>
  </si>
  <si>
    <t>Contagem de Infraestrutura_Energia</t>
  </si>
  <si>
    <t>Contagem de Infraestrutura_Esgoto</t>
  </si>
  <si>
    <t>Contagem de Infraestrutura_Lixo</t>
  </si>
  <si>
    <t>Contagem de Localizacao.LOCALIZACAO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</si>
</sst>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Localização</a:t>
            </a:r>
          </a:p>
        </c:rich>
      </c:tx>
      <c:layout>
        <c:manualLayout>
          <c:xMode val="edge"/>
          <c:yMode val="edge"/>
          <c:x val="0.41516221850824447"/>
          <c:y val="0.1449102167456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A-49E3-B97D-663421B6B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Dinâmicas!$A$46:$A$48</c:f>
              <c:strCache>
                <c:ptCount val="2"/>
                <c:pt idx="0">
                  <c:v>Urbana</c:v>
                </c:pt>
                <c:pt idx="1">
                  <c:v>Rural</c:v>
                </c:pt>
              </c:strCache>
            </c:strRef>
          </c:cat>
          <c:val>
            <c:numRef>
              <c:f>Dinâmicas!$B$46:$B$48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A-49E3-B97D-663421B6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Infraestrutura</a:t>
            </a:r>
            <a:r>
              <a:rPr lang="en-US" baseline="0"/>
              <a:t> - Lixo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Dinâmicas!$A$38:$A$41</c:f>
              <c:strCache>
                <c:ptCount val="3"/>
                <c:pt idx="0">
                  <c:v>Serviço de Coleta</c:v>
                </c:pt>
                <c:pt idx="1">
                  <c:v>Lixo Enterra</c:v>
                </c:pt>
                <c:pt idx="2">
                  <c:v>Queima</c:v>
                </c:pt>
              </c:strCache>
            </c:strRef>
          </c:cat>
          <c:val>
            <c:numRef>
              <c:f>Dinâmicas!$B$38:$B$41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8-4F97-BA4E-3A171181BE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259280"/>
        <c:axId val="1551061520"/>
      </c:barChart>
      <c:catAx>
        <c:axId val="15622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061520"/>
        <c:crosses val="autoZero"/>
        <c:auto val="1"/>
        <c:lblAlgn val="ctr"/>
        <c:lblOffset val="100"/>
        <c:noMultiLvlLbl val="0"/>
      </c:catAx>
      <c:valAx>
        <c:axId val="1551061520"/>
        <c:scaling>
          <c:orientation val="minMax"/>
          <c:max val="400"/>
          <c:min val="-90"/>
        </c:scaling>
        <c:delete val="1"/>
        <c:axPos val="l"/>
        <c:numFmt formatCode="General" sourceLinked="1"/>
        <c:majorTickMark val="none"/>
        <c:minorTickMark val="none"/>
        <c:tickLblPos val="nextTo"/>
        <c:crossAx val="15622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[Projeto2Atualização2.0 (2).xlsx]Dinâmicas!Tabela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Infraestrutura</a:t>
            </a:r>
            <a:r>
              <a:rPr lang="en-US" baseline="0"/>
              <a:t> - Esgoto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575796040908116E-2"/>
          <c:y val="0.3377074015799576"/>
          <c:w val="0.75580175222105772"/>
          <c:h val="0.47951502455971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Dinâmicas!$B$30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Dinâmicas!$A$31:$A$33</c:f>
              <c:strCache>
                <c:ptCount val="2"/>
                <c:pt idx="0">
                  <c:v>Esgoto Fossa</c:v>
                </c:pt>
                <c:pt idx="1">
                  <c:v>(vazio)</c:v>
                </c:pt>
              </c:strCache>
            </c:strRef>
          </c:cat>
          <c:val>
            <c:numRef>
              <c:f>Dinâmicas!$B$31:$B$33</c:f>
              <c:numCache>
                <c:formatCode>General</c:formatCode>
                <c:ptCount val="2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C-433A-9DFD-2785A3B133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1002175"/>
        <c:axId val="1551167600"/>
      </c:barChart>
      <c:catAx>
        <c:axId val="9110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67600"/>
        <c:crosses val="autoZero"/>
        <c:auto val="1"/>
        <c:lblAlgn val="ctr"/>
        <c:lblOffset val="100"/>
        <c:noMultiLvlLbl val="0"/>
      </c:catAx>
      <c:valAx>
        <c:axId val="1551167600"/>
        <c:scaling>
          <c:orientation val="minMax"/>
          <c:max val="400"/>
          <c:min val="-90"/>
        </c:scaling>
        <c:delete val="1"/>
        <c:axPos val="l"/>
        <c:numFmt formatCode="General" sourceLinked="1"/>
        <c:majorTickMark val="none"/>
        <c:minorTickMark val="none"/>
        <c:tickLblPos val="nextTo"/>
        <c:crossAx val="9110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[Projeto2Atualização2.0 (2).xlsx]Dinâmicas!Tabela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Infraestrutura</a:t>
            </a:r>
            <a:r>
              <a:rPr lang="en-US" baseline="0"/>
              <a:t> - Energia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Dinâmicas!$A$25:$A$28</c:f>
              <c:strCache>
                <c:ptCount val="3"/>
                <c:pt idx="0">
                  <c:v>Rede Pública</c:v>
                </c:pt>
                <c:pt idx="1">
                  <c:v>Energia Renovável</c:v>
                </c:pt>
                <c:pt idx="2">
                  <c:v>Energia Inexistente</c:v>
                </c:pt>
              </c:strCache>
            </c:strRef>
          </c:cat>
          <c:val>
            <c:numRef>
              <c:f>Dinâmicas!$B$25:$B$28</c:f>
              <c:numCache>
                <c:formatCode>General</c:formatCode>
                <c:ptCount val="3"/>
                <c:pt idx="0">
                  <c:v>22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4BD8-9C59-F4B4E096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273071"/>
        <c:axId val="1551000080"/>
      </c:barChart>
      <c:catAx>
        <c:axId val="9792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000080"/>
        <c:crosses val="autoZero"/>
        <c:auto val="1"/>
        <c:lblAlgn val="ctr"/>
        <c:lblOffset val="100"/>
        <c:noMultiLvlLbl val="0"/>
      </c:catAx>
      <c:valAx>
        <c:axId val="1551000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92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Infraestrutura</a:t>
            </a:r>
            <a:r>
              <a:rPr lang="en-US" baseline="0"/>
              <a:t> - Água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Dinâmicas!$A$16:$A$19</c:f>
              <c:strCache>
                <c:ptCount val="3"/>
                <c:pt idx="0">
                  <c:v>Rede Pública</c:v>
                </c:pt>
                <c:pt idx="1">
                  <c:v>Poço Artesiano</c:v>
                </c:pt>
                <c:pt idx="2">
                  <c:v>Cacimba</c:v>
                </c:pt>
              </c:strCache>
            </c:strRef>
          </c:cat>
          <c:val>
            <c:numRef>
              <c:f>Dinâmicas!$B$16:$B$19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9-4693-A114-28D344FF9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157664"/>
        <c:axId val="1551109040"/>
      </c:barChart>
      <c:catAx>
        <c:axId val="15621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09040"/>
        <c:crosses val="autoZero"/>
        <c:auto val="1"/>
        <c:lblAlgn val="ctr"/>
        <c:lblOffset val="100"/>
        <c:noMultiLvlLbl val="0"/>
      </c:catAx>
      <c:valAx>
        <c:axId val="1551109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21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Tamahho</a:t>
            </a:r>
            <a:r>
              <a:rPr lang="pt-BR" baseline="0"/>
              <a:t> das Escolas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Dinâmicas!$A$4:$A$9</c:f>
              <c:strCache>
                <c:ptCount val="5"/>
                <c:pt idx="0">
                  <c:v>Grande</c:v>
                </c:pt>
                <c:pt idx="1">
                  <c:v>Média</c:v>
                </c:pt>
                <c:pt idx="2">
                  <c:v>Microescola</c:v>
                </c:pt>
                <c:pt idx="3">
                  <c:v>Pequena</c:v>
                </c:pt>
                <c:pt idx="4">
                  <c:v>(vazio)</c:v>
                </c:pt>
              </c:strCache>
            </c:strRef>
          </c:cat>
          <c:val>
            <c:numRef>
              <c:f>Dinâmicas!$B$4:$B$9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1-410F-95B5-514889AF7A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171584"/>
        <c:axId val="1551174800"/>
      </c:barChart>
      <c:catAx>
        <c:axId val="15621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74800"/>
        <c:crosses val="autoZero"/>
        <c:auto val="1"/>
        <c:lblAlgn val="ctr"/>
        <c:lblOffset val="100"/>
        <c:noMultiLvlLbl val="0"/>
      </c:catAx>
      <c:valAx>
        <c:axId val="155117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21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Dinâmicas!$A$4:$A$9</c:f>
              <c:strCache>
                <c:ptCount val="5"/>
                <c:pt idx="0">
                  <c:v>Grande</c:v>
                </c:pt>
                <c:pt idx="1">
                  <c:v>Média</c:v>
                </c:pt>
                <c:pt idx="2">
                  <c:v>Microescola</c:v>
                </c:pt>
                <c:pt idx="3">
                  <c:v>Pequena</c:v>
                </c:pt>
                <c:pt idx="4">
                  <c:v>(vazio)</c:v>
                </c:pt>
              </c:strCache>
            </c:strRef>
          </c:cat>
          <c:val>
            <c:numRef>
              <c:f>Dinâmicas!$B$4:$B$9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C-45BC-B2AE-7CF6E64EE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171584"/>
        <c:axId val="1551174800"/>
      </c:barChart>
      <c:catAx>
        <c:axId val="15621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74800"/>
        <c:crosses val="autoZero"/>
        <c:auto val="1"/>
        <c:lblAlgn val="ctr"/>
        <c:lblOffset val="100"/>
        <c:noMultiLvlLbl val="0"/>
      </c:catAx>
      <c:valAx>
        <c:axId val="15511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21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Dinâmicas!$A$16:$A$19</c:f>
              <c:strCache>
                <c:ptCount val="3"/>
                <c:pt idx="0">
                  <c:v>Rede Pública</c:v>
                </c:pt>
                <c:pt idx="1">
                  <c:v>Poço Artesiano</c:v>
                </c:pt>
                <c:pt idx="2">
                  <c:v>Cacimba</c:v>
                </c:pt>
              </c:strCache>
            </c:strRef>
          </c:cat>
          <c:val>
            <c:numRef>
              <c:f>Dinâmicas!$B$16:$B$19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5-452F-BD65-C7CF321B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157664"/>
        <c:axId val="1551109040"/>
      </c:barChart>
      <c:catAx>
        <c:axId val="15621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09040"/>
        <c:crosses val="autoZero"/>
        <c:auto val="1"/>
        <c:lblAlgn val="ctr"/>
        <c:lblOffset val="100"/>
        <c:noMultiLvlLbl val="0"/>
      </c:catAx>
      <c:valAx>
        <c:axId val="15511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21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Dinâmicas!$A$25:$A$28</c:f>
              <c:strCache>
                <c:ptCount val="3"/>
                <c:pt idx="0">
                  <c:v>Rede Pública</c:v>
                </c:pt>
                <c:pt idx="1">
                  <c:v>Energia Renovável</c:v>
                </c:pt>
                <c:pt idx="2">
                  <c:v>Energia Inexistente</c:v>
                </c:pt>
              </c:strCache>
            </c:strRef>
          </c:cat>
          <c:val>
            <c:numRef>
              <c:f>Dinâmicas!$B$25:$B$28</c:f>
              <c:numCache>
                <c:formatCode>General</c:formatCode>
                <c:ptCount val="3"/>
                <c:pt idx="0">
                  <c:v>22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5-4D50-ACB9-6575691BE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273071"/>
        <c:axId val="1551000080"/>
      </c:barChart>
      <c:catAx>
        <c:axId val="9792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000080"/>
        <c:crosses val="autoZero"/>
        <c:auto val="1"/>
        <c:lblAlgn val="ctr"/>
        <c:lblOffset val="100"/>
        <c:noMultiLvlLbl val="0"/>
      </c:catAx>
      <c:valAx>
        <c:axId val="15510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92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Dinâmicas!$A$31:$A$33</c:f>
              <c:strCache>
                <c:ptCount val="2"/>
                <c:pt idx="0">
                  <c:v>Esgoto Fossa</c:v>
                </c:pt>
                <c:pt idx="1">
                  <c:v>(vazio)</c:v>
                </c:pt>
              </c:strCache>
            </c:strRef>
          </c:cat>
          <c:val>
            <c:numRef>
              <c:f>Dinâmicas!$B$31:$B$33</c:f>
              <c:numCache>
                <c:formatCode>General</c:formatCode>
                <c:ptCount val="2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6-4E01-90A2-06B88A7E3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02175"/>
        <c:axId val="1551167600"/>
      </c:barChart>
      <c:catAx>
        <c:axId val="9110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167600"/>
        <c:crosses val="autoZero"/>
        <c:auto val="1"/>
        <c:lblAlgn val="ctr"/>
        <c:lblOffset val="100"/>
        <c:noMultiLvlLbl val="0"/>
      </c:catAx>
      <c:valAx>
        <c:axId val="15511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10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Dinâmicas!$A$38:$A$41</c:f>
              <c:strCache>
                <c:ptCount val="3"/>
                <c:pt idx="0">
                  <c:v>Serviço de Coleta</c:v>
                </c:pt>
                <c:pt idx="1">
                  <c:v>Lixo Enterra</c:v>
                </c:pt>
                <c:pt idx="2">
                  <c:v>Queima</c:v>
                </c:pt>
              </c:strCache>
            </c:strRef>
          </c:cat>
          <c:val>
            <c:numRef>
              <c:f>Dinâmicas!$B$38:$B$41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E5B-B58B-79BB5FB3F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259280"/>
        <c:axId val="1551061520"/>
      </c:barChart>
      <c:catAx>
        <c:axId val="15622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061520"/>
        <c:crosses val="autoZero"/>
        <c:auto val="1"/>
        <c:lblAlgn val="ctr"/>
        <c:lblOffset val="100"/>
        <c:noMultiLvlLbl val="0"/>
      </c:catAx>
      <c:valAx>
        <c:axId val="15510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22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[Projeto2Atualização2.0 (2).xlsx]Dinâmicas!Tabela dinâmica11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Dinâmicas!$B$45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Dinâmicas!$A$46:$A$48</c:f>
              <c:strCache>
                <c:ptCount val="2"/>
                <c:pt idx="0">
                  <c:v>Urbana</c:v>
                </c:pt>
                <c:pt idx="1">
                  <c:v>Rural</c:v>
                </c:pt>
              </c:strCache>
            </c:strRef>
          </c:cat>
          <c:val>
            <c:numRef>
              <c:f>Dinâmicas!$B$46:$B$48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B-444A-9AB1-01F873C3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60960</xdr:rowOff>
    </xdr:from>
    <xdr:to>
      <xdr:col>24</xdr:col>
      <xdr:colOff>186070</xdr:colOff>
      <xdr:row>34</xdr:row>
      <xdr:rowOff>88605</xdr:rowOff>
    </xdr:to>
    <xdr:sp macro="" textlink="">
      <xdr:nvSpPr>
        <xdr:cNvPr id="2" name="Retângulo: Cantos Diagonais Arredondados 1">
          <a:extLst>
            <a:ext uri="{FF2B5EF4-FFF2-40B4-BE49-F238E27FC236}">
              <a16:creationId xmlns:a16="http://schemas.microsoft.com/office/drawing/2014/main" id="{3F4C5B7F-0335-4751-C2C6-803128162F48}"/>
            </a:ext>
          </a:extLst>
        </xdr:cNvPr>
        <xdr:cNvSpPr/>
      </xdr:nvSpPr>
      <xdr:spPr>
        <a:xfrm>
          <a:off x="45720" y="60960"/>
          <a:ext cx="14813280" cy="6354017"/>
        </a:xfrm>
        <a:prstGeom prst="round2Diag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375192</xdr:colOff>
      <xdr:row>3</xdr:row>
      <xdr:rowOff>152426</xdr:rowOff>
    </xdr:from>
    <xdr:to>
      <xdr:col>5</xdr:col>
      <xdr:colOff>10496</xdr:colOff>
      <xdr:row>15</xdr:row>
      <xdr:rowOff>29444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73B780-45CB-48A4-A74E-BFCCC6989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310581</xdr:colOff>
      <xdr:row>17</xdr:row>
      <xdr:rowOff>158424</xdr:rowOff>
    </xdr:from>
    <xdr:to>
      <xdr:col>10</xdr:col>
      <xdr:colOff>391388</xdr:colOff>
      <xdr:row>27</xdr:row>
      <xdr:rowOff>16038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60ED5D-FC80-4E6A-A216-9152E171C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476748</xdr:colOff>
      <xdr:row>1</xdr:row>
      <xdr:rowOff>122437</xdr:rowOff>
    </xdr:from>
    <xdr:to>
      <xdr:col>17</xdr:col>
      <xdr:colOff>100355</xdr:colOff>
      <xdr:row>13</xdr:row>
      <xdr:rowOff>10271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E84E20-6F21-454B-A20D-CD3227DD9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310307</xdr:colOff>
      <xdr:row>19</xdr:row>
      <xdr:rowOff>58916</xdr:rowOff>
    </xdr:from>
    <xdr:to>
      <xdr:col>4</xdr:col>
      <xdr:colOff>598627</xdr:colOff>
      <xdr:row>28</xdr:row>
      <xdr:rowOff>165057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993997-DFBB-440D-BAA1-5C2AEA40E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427129</xdr:colOff>
      <xdr:row>2</xdr:row>
      <xdr:rowOff>125573</xdr:rowOff>
    </xdr:from>
    <xdr:to>
      <xdr:col>11</xdr:col>
      <xdr:colOff>98229</xdr:colOff>
      <xdr:row>12</xdr:row>
      <xdr:rowOff>120344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BBA225C-E607-4CA6-AE79-AE9AABF04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40131</xdr:colOff>
      <xdr:row>16</xdr:row>
      <xdr:rowOff>110442</xdr:rowOff>
    </xdr:from>
    <xdr:to>
      <xdr:col>17</xdr:col>
      <xdr:colOff>218226</xdr:colOff>
      <xdr:row>28</xdr:row>
      <xdr:rowOff>110266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800610B-B11D-47C3-A41F-9F176DE37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64040</xdr:colOff>
      <xdr:row>15</xdr:row>
      <xdr:rowOff>150097</xdr:rowOff>
    </xdr:from>
    <xdr:to>
      <xdr:col>24</xdr:col>
      <xdr:colOff>58724</xdr:colOff>
      <xdr:row>29</xdr:row>
      <xdr:rowOff>126395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Dependencia.DEPENDENCIA">
              <a:extLst>
                <a:ext uri="{FF2B5EF4-FFF2-40B4-BE49-F238E27FC236}">
                  <a16:creationId xmlns:a16="http://schemas.microsoft.com/office/drawing/2014/main" id="{82D8724C-319A-431A-1F23-2C2902AA4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.DEPEND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65640" y="2963635"/>
              <a:ext cx="1823484" cy="2602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97942</xdr:colOff>
      <xdr:row>0</xdr:row>
      <xdr:rowOff>163141</xdr:rowOff>
    </xdr:from>
    <xdr:to>
      <xdr:col>24</xdr:col>
      <xdr:colOff>92626</xdr:colOff>
      <xdr:row>14</xdr:row>
      <xdr:rowOff>139439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Localizacao.LOCALIZACAO">
              <a:extLst>
                <a:ext uri="{FF2B5EF4-FFF2-40B4-BE49-F238E27FC236}">
                  <a16:creationId xmlns:a16="http://schemas.microsoft.com/office/drawing/2014/main" id="{86C3A22C-A17B-804C-0B3C-D4ABB1E21A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zacao.LOCALIZ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9542" y="163141"/>
              <a:ext cx="1823484" cy="2602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461862</xdr:colOff>
      <xdr:row>15</xdr:row>
      <xdr:rowOff>171007</xdr:rowOff>
    </xdr:from>
    <xdr:to>
      <xdr:col>20</xdr:col>
      <xdr:colOff>456546</xdr:colOff>
      <xdr:row>29</xdr:row>
      <xdr:rowOff>147305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LocDiferenciada.LOC_DIFERENCIADA">
              <a:extLst>
                <a:ext uri="{FF2B5EF4-FFF2-40B4-BE49-F238E27FC236}">
                  <a16:creationId xmlns:a16="http://schemas.microsoft.com/office/drawing/2014/main" id="{8A488ECF-01F8-5987-8E70-1250E5C75A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Diferenciada.LOC_DIFERENCI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5062" y="2984545"/>
              <a:ext cx="1823484" cy="2602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446281</xdr:colOff>
      <xdr:row>0</xdr:row>
      <xdr:rowOff>151473</xdr:rowOff>
    </xdr:from>
    <xdr:to>
      <xdr:col>20</xdr:col>
      <xdr:colOff>440965</xdr:colOff>
      <xdr:row>14</xdr:row>
      <xdr:rowOff>127771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ituacao.SITUACAO">
              <a:extLst>
                <a:ext uri="{FF2B5EF4-FFF2-40B4-BE49-F238E27FC236}">
                  <a16:creationId xmlns:a16="http://schemas.microsoft.com/office/drawing/2014/main" id="{E22DD1BA-8974-1CE5-75FE-E52CDD34E5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uacao.SITU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9481" y="151473"/>
              <a:ext cx="1823484" cy="2602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386862</xdr:colOff>
      <xdr:row>30</xdr:row>
      <xdr:rowOff>164124</xdr:rowOff>
    </xdr:from>
    <xdr:to>
      <xdr:col>4</xdr:col>
      <xdr:colOff>508782</xdr:colOff>
      <xdr:row>32</xdr:row>
      <xdr:rowOff>171744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E0DC172-059B-081A-7926-F13D8A34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862" y="5791201"/>
          <a:ext cx="2560320" cy="382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0</xdr:rowOff>
    </xdr:from>
    <xdr:to>
      <xdr:col>5</xdr:col>
      <xdr:colOff>251460</xdr:colOff>
      <xdr:row>12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C277AE5-9F85-1AFC-C76B-FF5C54D81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12</xdr:row>
      <xdr:rowOff>57150</xdr:rowOff>
    </xdr:from>
    <xdr:to>
      <xdr:col>4</xdr:col>
      <xdr:colOff>259080</xdr:colOff>
      <xdr:row>22</xdr:row>
      <xdr:rowOff>83820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68C2432-3DCB-398C-E1E5-110FF435B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441960</xdr:colOff>
      <xdr:row>23</xdr:row>
      <xdr:rowOff>11430</xdr:rowOff>
    </xdr:from>
    <xdr:to>
      <xdr:col>3</xdr:col>
      <xdr:colOff>769620</xdr:colOff>
      <xdr:row>32</xdr:row>
      <xdr:rowOff>144780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4FA72B6-DB5E-1AC7-ABFB-DAD140A6C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205740</xdr:colOff>
      <xdr:row>22</xdr:row>
      <xdr:rowOff>3810</xdr:rowOff>
    </xdr:from>
    <xdr:to>
      <xdr:col>9</xdr:col>
      <xdr:colOff>449580</xdr:colOff>
      <xdr:row>33</xdr:row>
      <xdr:rowOff>114300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D11BAAB-271A-D15F-0D88-08A01872A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716280</xdr:colOff>
      <xdr:row>34</xdr:row>
      <xdr:rowOff>156210</xdr:rowOff>
    </xdr:from>
    <xdr:to>
      <xdr:col>5</xdr:col>
      <xdr:colOff>15240</xdr:colOff>
      <xdr:row>44</xdr:row>
      <xdr:rowOff>45720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99EC153-17DF-C403-96C2-AC7568E70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541020</xdr:colOff>
      <xdr:row>50</xdr:row>
      <xdr:rowOff>19050</xdr:rowOff>
    </xdr:from>
    <xdr:to>
      <xdr:col>2</xdr:col>
      <xdr:colOff>464820</xdr:colOff>
      <xdr:row>62</xdr:row>
      <xdr:rowOff>83820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075D666-3058-C460-32D3-6931BBB07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7.841216319444" createdVersion="8" refreshedVersion="8" minRefreshableVersion="3" recordCount="468" xr:uid="{B21DCD80-4E21-46C8-BF6C-0B30CC6107FD}">
  <cacheSource type="worksheet">
    <worksheetSource ref="BO1:BO1048576" sheet="Microdados"/>
  </cacheSource>
  <cacheFields count="1">
    <cacheField name="Infraestrutura_Esgoto" numFmtId="0">
      <sharedItems containsBlank="1" count="3">
        <s v="Esgoto Fossa"/>
        <m/>
        <s v="Rede Públic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7.841216666668" createdVersion="8" refreshedVersion="8" minRefreshableVersion="3" recordCount="32" xr:uid="{71D1FD08-A850-4F80-AA3E-B40DDC91DAD6}">
  <cacheSource type="worksheet">
    <worksheetSource name="Microdados"/>
  </cacheSource>
  <cacheFields count="68">
    <cacheField name="NO_REGIAO" numFmtId="0">
      <sharedItems/>
    </cacheField>
    <cacheField name="NO_UF" numFmtId="0">
      <sharedItems/>
    </cacheField>
    <cacheField name="SG_UF" numFmtId="0">
      <sharedItems/>
    </cacheField>
    <cacheField name="CO_UF" numFmtId="0">
      <sharedItems containsSemiMixedTypes="0" containsString="0" containsNumber="1" containsInteger="1" minValue="11" maxValue="11"/>
    </cacheField>
    <cacheField name="NO_MUNICIPIO" numFmtId="0">
      <sharedItems/>
    </cacheField>
    <cacheField name="CO_MUNICIPIO" numFmtId="0">
      <sharedItems containsSemiMixedTypes="0" containsString="0" containsNumber="1" containsInteger="1" minValue="1100015" maxValue="1100015"/>
    </cacheField>
    <cacheField name="Dependencia.DEPENDENCIA" numFmtId="0">
      <sharedItems count="3">
        <s v="Estadual"/>
        <s v="Municipal"/>
        <s v="Privada"/>
      </sharedItems>
    </cacheField>
    <cacheField name="NO_ENTIDADE" numFmtId="0">
      <sharedItems/>
    </cacheField>
    <cacheField name="CO_ENTIDADE" numFmtId="0">
      <sharedItems containsSemiMixedTypes="0" containsString="0" containsNumber="1" containsInteger="1" minValue="11022558" maxValue="11051264"/>
    </cacheField>
    <cacheField name="TP_DEPENDENCIA" numFmtId="0">
      <sharedItems containsSemiMixedTypes="0" containsString="0" containsNumber="1" containsInteger="1" minValue="2" maxValue="4" count="3">
        <n v="2"/>
        <n v="3"/>
        <n v="4"/>
      </sharedItems>
    </cacheField>
    <cacheField name="TP_LOCALIZACAO" numFmtId="0">
      <sharedItems containsSemiMixedTypes="0" containsString="0" containsNumber="1" containsInteger="1" minValue="1" maxValue="2"/>
    </cacheField>
    <cacheField name="TP_LOCALIZACAO_DIFERENCIADA" numFmtId="0">
      <sharedItems containsString="0" containsBlank="1" containsNumber="1" containsInteger="1" minValue="0" maxValue="2"/>
    </cacheField>
    <cacheField name="DS_ENDERECO" numFmtId="0">
      <sharedItems/>
    </cacheField>
    <cacheField name="NU_ENDERECO" numFmtId="0">
      <sharedItems containsBlank="1"/>
    </cacheField>
    <cacheField name="DS_COMPLEMENTO" numFmtId="0">
      <sharedItems containsBlank="1"/>
    </cacheField>
    <cacheField name="NO_BAIRRO" numFmtId="0">
      <sharedItems containsBlank="1"/>
    </cacheField>
    <cacheField name="CO_CEP" numFmtId="0">
      <sharedItems containsSemiMixedTypes="0" containsString="0" containsNumber="1" containsInteger="1" minValue="76954000" maxValue="76954000"/>
    </cacheField>
    <cacheField name="TP_SITUACAO_FUNCIONAMENTO" numFmtId="0">
      <sharedItems containsSemiMixedTypes="0" containsString="0" containsNumber="1" containsInteger="1" minValue="1" maxValue="3" count="3">
        <n v="1"/>
        <n v="2"/>
        <n v="3" u="1"/>
      </sharedItems>
    </cacheField>
    <cacheField name="IN_AGUA_POTAVEL" numFmtId="0">
      <sharedItems containsString="0" containsBlank="1" containsNumber="1" containsInteger="1" minValue="1" maxValue="1"/>
    </cacheField>
    <cacheField name="IN_AGUA_REDE_PUBLICA" numFmtId="0">
      <sharedItems containsString="0" containsBlank="1" containsNumber="1" containsInteger="1" minValue="0" maxValue="1"/>
    </cacheField>
    <cacheField name="IN_AGUA_POCO_ARTESIANO" numFmtId="0">
      <sharedItems containsString="0" containsBlank="1" containsNumber="1" containsInteger="1" minValue="0" maxValue="1"/>
    </cacheField>
    <cacheField name="IN_AGUA_CACIMBA" numFmtId="0">
      <sharedItems containsString="0" containsBlank="1" containsNumber="1" containsInteger="1" minValue="0" maxValue="1"/>
    </cacheField>
    <cacheField name="IN_AGUA_FONTE_RIO" numFmtId="0">
      <sharedItems containsString="0" containsBlank="1" containsNumber="1" containsInteger="1" minValue="0" maxValue="0"/>
    </cacheField>
    <cacheField name="IN_AGUA_INEXISTENTE" numFmtId="0">
      <sharedItems containsString="0" containsBlank="1" containsNumber="1" containsInteger="1" minValue="0" maxValue="0"/>
    </cacheField>
    <cacheField name="IN_AGUA_CARRO_PIPA" numFmtId="0">
      <sharedItems containsString="0" containsBlank="1" containsNumber="1" containsInteger="1" minValue="0" maxValue="0"/>
    </cacheField>
    <cacheField name="IN_ENERGIA_REDE_PUBLICA" numFmtId="0">
      <sharedItems containsString="0" containsBlank="1" containsNumber="1" containsInteger="1" minValue="0" maxValue="1"/>
    </cacheField>
    <cacheField name="IN_ENERGIA_GERADOR_FOSSIL" numFmtId="0">
      <sharedItems containsString="0" containsBlank="1" containsNumber="1" containsInteger="1" minValue="0" maxValue="0"/>
    </cacheField>
    <cacheField name="IN_ENERGIA_RENOVAVEL" numFmtId="0">
      <sharedItems containsString="0" containsBlank="1" containsNumber="1" containsInteger="1" minValue="0" maxValue="1"/>
    </cacheField>
    <cacheField name="IN_ENERGIA_INEXISTENTE" numFmtId="0">
      <sharedItems containsString="0" containsBlank="1" containsNumber="1" containsInteger="1" minValue="0" maxValue="1"/>
    </cacheField>
    <cacheField name="IN_ESGOTO_REDE_PUBLICA" numFmtId="0">
      <sharedItems containsString="0" containsBlank="1" containsNumber="1" containsInteger="1" minValue="0" maxValue="0"/>
    </cacheField>
    <cacheField name="IN_ESGOTO_FOSSA_SEPTICA" numFmtId="0">
      <sharedItems containsString="0" containsBlank="1" containsNumber="1" containsInteger="1" minValue="0" maxValue="1"/>
    </cacheField>
    <cacheField name="IN_ESGOTO_FOSSA_COMUM" numFmtId="0">
      <sharedItems containsString="0" containsBlank="1" containsNumber="1" containsInteger="1" minValue="0" maxValue="1"/>
    </cacheField>
    <cacheField name="IN_ESGOTO_FOSSA" numFmtId="0">
      <sharedItems containsString="0" containsBlank="1" containsNumber="1" containsInteger="1" minValue="1" maxValue="1"/>
    </cacheField>
    <cacheField name="IN_ESGOTO_INEXISTENTE" numFmtId="0">
      <sharedItems containsString="0" containsBlank="1" containsNumber="1" containsInteger="1" minValue="0" maxValue="0"/>
    </cacheField>
    <cacheField name="IN_LIXO_SERVICO_COLETA" numFmtId="0">
      <sharedItems containsString="0" containsBlank="1" containsNumber="1" containsInteger="1" minValue="0" maxValue="1"/>
    </cacheField>
    <cacheField name="IN_LIXO_QUEIMA" numFmtId="0">
      <sharedItems containsString="0" containsBlank="1" containsNumber="1" containsInteger="1" minValue="0" maxValue="1"/>
    </cacheField>
    <cacheField name="IN_LIXO_ENTERRA" numFmtId="0">
      <sharedItems containsString="0" containsBlank="1" containsNumber="1" containsInteger="1" minValue="0" maxValue="1"/>
    </cacheField>
    <cacheField name="IN_LIXO_DESTINO_FINAL_PUBLICO" numFmtId="0">
      <sharedItems containsString="0" containsBlank="1" containsNumber="1" containsInteger="1" minValue="0" maxValue="0"/>
    </cacheField>
    <cacheField name="IN_LIXO_DESCARTA_OUTRA_AREA" numFmtId="0">
      <sharedItems containsString="0" containsBlank="1" containsNumber="1" containsInteger="1" minValue="0" maxValue="0"/>
    </cacheField>
    <cacheField name="QT_MAT_BAS" numFmtId="0">
      <sharedItems containsString="0" containsBlank="1" containsNumber="1" containsInteger="1" minValue="3" maxValue="740"/>
    </cacheField>
    <cacheField name="QT_MAT_INF" numFmtId="0">
      <sharedItems containsString="0" containsBlank="1" containsNumber="1" containsInteger="1" minValue="0" maxValue="296"/>
    </cacheField>
    <cacheField name="QT_MAT_FUND" numFmtId="0">
      <sharedItems containsString="0" containsBlank="1" containsNumber="1" containsInteger="1" minValue="0" maxValue="418"/>
    </cacheField>
    <cacheField name="QT_MAT_MED" numFmtId="0">
      <sharedItems containsString="0" containsBlank="1" containsNumber="1" containsInteger="1" minValue="0" maxValue="361"/>
    </cacheField>
    <cacheField name="QT_MAT_PROF" numFmtId="0">
      <sharedItems containsString="0" containsBlank="1" containsNumber="1" containsInteger="1" minValue="0" maxValue="0"/>
    </cacheField>
    <cacheField name="QT_MAT_EJA" numFmtId="0">
      <sharedItems containsString="0" containsBlank="1" containsNumber="1" containsInteger="1" minValue="0" maxValue="131"/>
    </cacheField>
    <cacheField name="QT_MAT_ESP" numFmtId="0">
      <sharedItems containsString="0" containsBlank="1" containsNumber="1" containsInteger="1" minValue="0" maxValue="34"/>
    </cacheField>
    <cacheField name="QT_MAT_BAS_FEM" numFmtId="0">
      <sharedItems containsString="0" containsBlank="1" containsNumber="1" containsInteger="1" minValue="1" maxValue="380"/>
    </cacheField>
    <cacheField name="QT_MAT_BAS_MASC" numFmtId="0">
      <sharedItems containsString="0" containsBlank="1" containsNumber="1" containsInteger="1" minValue="1" maxValue="360"/>
    </cacheField>
    <cacheField name="QT_MAT_BAS_ND" numFmtId="0">
      <sharedItems containsString="0" containsBlank="1" containsNumber="1" containsInteger="1" minValue="0" maxValue="4"/>
    </cacheField>
    <cacheField name="QT_MAT_BAS_BRANCA" numFmtId="0">
      <sharedItems containsString="0" containsBlank="1" containsNumber="1" containsInteger="1" minValue="0" maxValue="248"/>
    </cacheField>
    <cacheField name="QT_MAT_BAS_PRETA" numFmtId="0">
      <sharedItems containsString="0" containsBlank="1" containsNumber="1" containsInteger="1" minValue="0" maxValue="21"/>
    </cacheField>
    <cacheField name="QT_MAT_BAS_PARDA" numFmtId="0">
      <sharedItems containsString="0" containsBlank="1" containsNumber="1" containsInteger="1" minValue="0" maxValue="461"/>
    </cacheField>
    <cacheField name="QT_MAT_BAS_AMARELA" numFmtId="0">
      <sharedItems containsString="0" containsBlank="1" containsNumber="1" containsInteger="1" minValue="0" maxValue="1"/>
    </cacheField>
    <cacheField name="QT_MAT_BAS_INDIGENA" numFmtId="0">
      <sharedItems containsString="0" containsBlank="1" containsNumber="1" containsInteger="1" minValue="0" maxValue="99"/>
    </cacheField>
    <cacheField name="QT_MAT_BAS_0_3" numFmtId="0">
      <sharedItems containsString="0" containsBlank="1" containsNumber="1" containsInteger="1" minValue="0" maxValue="114"/>
    </cacheField>
    <cacheField name="QT_MAT_BAS_4_5" numFmtId="0">
      <sharedItems containsString="0" containsBlank="1" containsNumber="1" containsInteger="1" minValue="0" maxValue="270"/>
    </cacheField>
    <cacheField name="QT_MAT_BAS_6_10" numFmtId="0">
      <sharedItems containsString="0" containsBlank="1" containsNumber="1" containsInteger="1" minValue="0" maxValue="362"/>
    </cacheField>
    <cacheField name="QT_MAT_BAS_11_14" numFmtId="0">
      <sharedItems containsString="0" containsBlank="1" containsNumber="1" containsInteger="1" minValue="0" maxValue="392"/>
    </cacheField>
    <cacheField name="QT_MAT_BAS_15_17" numFmtId="0">
      <sharedItems containsString="0" containsBlank="1" containsNumber="1" containsInteger="1" minValue="0" maxValue="310"/>
    </cacheField>
    <cacheField name="QT_MAT_BAS_18_MAIS" numFmtId="0">
      <sharedItems containsString="0" containsBlank="1" containsNumber="1" containsInteger="1" minValue="0" maxValue="118"/>
    </cacheField>
    <cacheField name="Localizacao.LOCALIZACAO" numFmtId="0">
      <sharedItems count="2">
        <s v="Rural"/>
        <s v="Urbana"/>
      </sharedItems>
    </cacheField>
    <cacheField name="LocDiferenciada.LOC_DIFERENCIADA" numFmtId="0">
      <sharedItems containsBlank="1" count="3">
        <s v="Terra indígena"/>
        <s v="Não"/>
        <m/>
      </sharedItems>
    </cacheField>
    <cacheField name="Situacao.SITUACAO" numFmtId="0">
      <sharedItems count="2">
        <s v="Ativa"/>
        <s v="Inativa"/>
      </sharedItems>
    </cacheField>
    <cacheField name="Tamanho_Escola" numFmtId="0">
      <sharedItems containsBlank="1" count="6">
        <s v="Microescola"/>
        <s v="Pequena"/>
        <s v="Grande"/>
        <m/>
        <s v="Média"/>
        <s v="Muito Grande" u="1"/>
      </sharedItems>
    </cacheField>
    <cacheField name="Infraestrutura_Agua" numFmtId="0">
      <sharedItems containsBlank="1" count="4">
        <s v="Poço Artesiano"/>
        <s v="Rede Pública"/>
        <m/>
        <s v="Cacimba"/>
      </sharedItems>
    </cacheField>
    <cacheField name="Infraestrutura_Energia" numFmtId="0">
      <sharedItems containsBlank="1" count="4">
        <s v="Energia Renovável"/>
        <s v="Rede Pública"/>
        <m/>
        <s v="Energia Inexistente"/>
      </sharedItems>
    </cacheField>
    <cacheField name="Infraestrutura_Esgoto" numFmtId="0">
      <sharedItems containsBlank="1"/>
    </cacheField>
    <cacheField name="Infraestrutura_Lixo" numFmtId="0">
      <sharedItems containsBlank="1" count="6">
        <s v="Lixo Enterra"/>
        <s v="Serviço de Coleta"/>
        <s v="Queima"/>
        <m/>
        <s v="Público" u="1"/>
        <s v="Descarte outra área" u="1"/>
      </sharedItems>
    </cacheField>
  </cacheFields>
  <extLst>
    <ext xmlns:x14="http://schemas.microsoft.com/office/spreadsheetml/2009/9/main" uri="{725AE2AE-9491-48be-B2B4-4EB974FC3084}">
      <x14:pivotCacheDefinition pivotCacheId="14121995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Norte"/>
    <s v="Rondônia"/>
    <s v="RO"/>
    <n v="11"/>
    <s v="Alta Floresta D'Oeste"/>
    <n v="1100015"/>
    <x v="0"/>
    <s v="EIEEF HAP BITT TUPARI"/>
    <n v="11022558"/>
    <x v="0"/>
    <n v="2"/>
    <n v="2"/>
    <s v="TERRA INDIGENA RIO BRANCO"/>
    <m/>
    <s v="ALDEIA COLORADO"/>
    <s v="RURAL"/>
    <n v="76954000"/>
    <x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1"/>
    <n v="0"/>
    <n v="0"/>
    <n v="4"/>
    <n v="0"/>
    <n v="4"/>
    <n v="0"/>
    <n v="0"/>
    <n v="0"/>
    <n v="0"/>
    <n v="2"/>
    <n v="2"/>
    <n v="0"/>
    <n v="0"/>
    <n v="0"/>
    <n v="0"/>
    <n v="0"/>
    <n v="4"/>
    <n v="0"/>
    <n v="0"/>
    <n v="3"/>
    <n v="1"/>
    <n v="0"/>
    <n v="0"/>
    <x v="0"/>
    <x v="0"/>
    <x v="0"/>
    <x v="0"/>
    <x v="0"/>
    <x v="0"/>
    <s v="Esgoto Fossa"/>
    <x v="0"/>
  </r>
  <r>
    <s v="Norte"/>
    <s v="Rondônia"/>
    <s v="RO"/>
    <n v="11"/>
    <s v="Alta Floresta D'Oeste"/>
    <n v="1100015"/>
    <x v="0"/>
    <s v="CEEJA LUIZ VAZ DE CAMOES"/>
    <n v="11024275"/>
    <x v="0"/>
    <n v="1"/>
    <n v="0"/>
    <s v="AVENIDA RIO DE JANEIRO"/>
    <s v="4776"/>
    <s v="ESCOLA"/>
    <s v="CIDADE ALTA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31"/>
    <n v="0"/>
    <n v="0"/>
    <n v="0"/>
    <n v="0"/>
    <n v="131"/>
    <n v="2"/>
    <n v="84"/>
    <n v="47"/>
    <n v="0"/>
    <n v="33"/>
    <n v="6"/>
    <n v="88"/>
    <n v="0"/>
    <n v="4"/>
    <n v="0"/>
    <n v="0"/>
    <n v="0"/>
    <n v="0"/>
    <n v="13"/>
    <n v="118"/>
    <x v="1"/>
    <x v="1"/>
    <x v="0"/>
    <x v="1"/>
    <x v="1"/>
    <x v="1"/>
    <s v="Esgoto Fossa"/>
    <x v="1"/>
  </r>
  <r>
    <s v="Norte"/>
    <s v="Rondônia"/>
    <s v="RO"/>
    <n v="11"/>
    <s v="Alta Floresta D'Oeste"/>
    <n v="1100015"/>
    <x v="0"/>
    <s v="EEEFM EURIDICE LOPES PEDROSO"/>
    <n v="11024682"/>
    <x v="0"/>
    <n v="1"/>
    <n v="0"/>
    <s v="AVENIDA MATO GROSSO"/>
    <s v="3861"/>
    <m/>
    <s v="CENTRO"/>
    <n v="76954000"/>
    <x v="0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98"/>
    <n v="0"/>
    <n v="237"/>
    <n v="361"/>
    <n v="0"/>
    <n v="0"/>
    <n v="27"/>
    <n v="281"/>
    <n v="317"/>
    <n v="4"/>
    <n v="191"/>
    <n v="21"/>
    <n v="371"/>
    <n v="1"/>
    <n v="10"/>
    <n v="0"/>
    <n v="0"/>
    <n v="24"/>
    <n v="217"/>
    <n v="310"/>
    <n v="47"/>
    <x v="1"/>
    <x v="1"/>
    <x v="0"/>
    <x v="2"/>
    <x v="1"/>
    <x v="1"/>
    <s v="Esgoto Fossa"/>
    <x v="1"/>
  </r>
  <r>
    <s v="Norte"/>
    <s v="Rondônia"/>
    <s v="RO"/>
    <n v="11"/>
    <s v="Alta Floresta D'Oeste"/>
    <n v="1100015"/>
    <x v="1"/>
    <s v="EMEIEF BOA ESPERANCA"/>
    <n v="11024666"/>
    <x v="1"/>
    <n v="2"/>
    <n v="0"/>
    <s v="LINHA P 50 KM 22"/>
    <m/>
    <s v="ZONA RURAL"/>
    <s v="LINHA P.50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169"/>
    <n v="32"/>
    <n v="137"/>
    <n v="0"/>
    <n v="0"/>
    <n v="0"/>
    <n v="8"/>
    <n v="76"/>
    <n v="93"/>
    <n v="0"/>
    <n v="73"/>
    <n v="3"/>
    <n v="89"/>
    <n v="0"/>
    <n v="4"/>
    <n v="0"/>
    <n v="29"/>
    <n v="73"/>
    <n v="63"/>
    <n v="4"/>
    <n v="0"/>
    <x v="0"/>
    <x v="1"/>
    <x v="0"/>
    <x v="1"/>
    <x v="0"/>
    <x v="1"/>
    <s v="Esgoto Fossa"/>
    <x v="2"/>
  </r>
  <r>
    <s v="Norte"/>
    <s v="Rondônia"/>
    <s v="RO"/>
    <n v="11"/>
    <s v="Alta Floresta D'Oeste"/>
    <n v="1100015"/>
    <x v="1"/>
    <s v="EMEIEF JOSE BASILIO DA GAMA"/>
    <n v="11024917"/>
    <x v="1"/>
    <n v="2"/>
    <n v="0"/>
    <s v="LINHA 42,5 KM 17"/>
    <m/>
    <m/>
    <m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57"/>
    <n v="13"/>
    <n v="44"/>
    <n v="0"/>
    <n v="0"/>
    <n v="0"/>
    <n v="2"/>
    <n v="25"/>
    <n v="32"/>
    <n v="0"/>
    <n v="21"/>
    <n v="0"/>
    <n v="36"/>
    <n v="0"/>
    <n v="0"/>
    <n v="0"/>
    <n v="13"/>
    <n v="26"/>
    <n v="18"/>
    <n v="0"/>
    <n v="0"/>
    <x v="0"/>
    <x v="1"/>
    <x v="0"/>
    <x v="1"/>
    <x v="0"/>
    <x v="1"/>
    <s v="Esgoto Fossa"/>
    <x v="2"/>
  </r>
  <r>
    <s v="Norte"/>
    <s v="Rondônia"/>
    <s v="RO"/>
    <n v="11"/>
    <s v="Alta Floresta D'Oeste"/>
    <n v="1100015"/>
    <x v="1"/>
    <s v="EMMEF 7 DE SETEMBRO"/>
    <n v="11024291"/>
    <x v="1"/>
    <n v="2"/>
    <m/>
    <s v="LINHA 60 COM A 140"/>
    <m/>
    <m/>
    <m/>
    <n v="769540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2"/>
    <x v="2"/>
    <m/>
    <x v="3"/>
  </r>
  <r>
    <s v="Norte"/>
    <s v="Rondônia"/>
    <s v="RO"/>
    <n v="11"/>
    <s v="Alta Floresta D'Oeste"/>
    <n v="1100015"/>
    <x v="0"/>
    <s v="EEEMTI JUSCELINO KUBITSCHEK DE OLIVEIRA"/>
    <n v="11024968"/>
    <x v="0"/>
    <n v="1"/>
    <n v="0"/>
    <s v="AVENIDA AMAPA"/>
    <s v="4503"/>
    <m/>
    <s v="SANTA FELICIDADE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67"/>
    <n v="0"/>
    <n v="117"/>
    <n v="250"/>
    <n v="0"/>
    <n v="0"/>
    <n v="5"/>
    <n v="193"/>
    <n v="174"/>
    <n v="0"/>
    <n v="171"/>
    <n v="7"/>
    <n v="183"/>
    <n v="1"/>
    <n v="5"/>
    <n v="0"/>
    <n v="0"/>
    <n v="11"/>
    <n v="139"/>
    <n v="203"/>
    <n v="14"/>
    <x v="1"/>
    <x v="1"/>
    <x v="0"/>
    <x v="4"/>
    <x v="0"/>
    <x v="1"/>
    <s v="Esgoto Fossa"/>
    <x v="1"/>
  </r>
  <r>
    <s v="Norte"/>
    <s v="Rondônia"/>
    <s v="RO"/>
    <n v="11"/>
    <s v="Alta Floresta D'Oeste"/>
    <n v="1100015"/>
    <x v="1"/>
    <s v="EMMEF MALBA TAHAN"/>
    <n v="11025034"/>
    <x v="1"/>
    <n v="2"/>
    <m/>
    <s v="LINHA 95 COM 140"/>
    <m/>
    <m/>
    <m/>
    <n v="769540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2"/>
    <x v="2"/>
    <m/>
    <x v="3"/>
  </r>
  <r>
    <s v="Norte"/>
    <s v="Rondônia"/>
    <s v="RO"/>
    <n v="11"/>
    <s v="Alta Floresta D'Oeste"/>
    <n v="1100015"/>
    <x v="1"/>
    <s v="EMMEF MARTIM AFONSO DE SOUZA"/>
    <n v="11025115"/>
    <x v="1"/>
    <n v="2"/>
    <n v="0"/>
    <s v="LINHA 50 COM A 134"/>
    <m/>
    <m/>
    <m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0"/>
    <n v="0"/>
    <n v="20"/>
    <n v="0"/>
    <n v="0"/>
    <n v="0"/>
    <n v="2"/>
    <n v="9"/>
    <n v="11"/>
    <n v="0"/>
    <n v="8"/>
    <n v="0"/>
    <n v="12"/>
    <n v="0"/>
    <n v="0"/>
    <n v="0"/>
    <n v="0"/>
    <n v="20"/>
    <n v="0"/>
    <n v="0"/>
    <n v="0"/>
    <x v="0"/>
    <x v="1"/>
    <x v="0"/>
    <x v="0"/>
    <x v="0"/>
    <x v="1"/>
    <s v="Esgoto Fossa"/>
    <x v="2"/>
  </r>
  <r>
    <s v="Norte"/>
    <s v="Rondônia"/>
    <s v="RO"/>
    <n v="11"/>
    <s v="Alta Floresta D'Oeste"/>
    <n v="1100015"/>
    <x v="1"/>
    <s v="EMEIEF PEDRO ALEIXO"/>
    <n v="11025310"/>
    <x v="1"/>
    <n v="2"/>
    <n v="0"/>
    <s v="LINHA 148 COM A 65 KM 38"/>
    <m/>
    <m/>
    <m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38"/>
    <n v="39"/>
    <n v="199"/>
    <n v="0"/>
    <n v="0"/>
    <n v="0"/>
    <n v="2"/>
    <n v="113"/>
    <n v="125"/>
    <n v="1"/>
    <n v="107"/>
    <n v="1"/>
    <n v="129"/>
    <n v="0"/>
    <n v="0"/>
    <n v="0"/>
    <n v="33"/>
    <n v="104"/>
    <n v="97"/>
    <n v="3"/>
    <n v="1"/>
    <x v="0"/>
    <x v="1"/>
    <x v="0"/>
    <x v="4"/>
    <x v="0"/>
    <x v="1"/>
    <s v="Esgoto Fossa"/>
    <x v="2"/>
  </r>
  <r>
    <s v="Norte"/>
    <s v="Rondônia"/>
    <s v="RO"/>
    <n v="11"/>
    <s v="Alta Floresta D'Oeste"/>
    <n v="1100015"/>
    <x v="1"/>
    <s v="EMEIEF POTY"/>
    <n v="11025352"/>
    <x v="1"/>
    <n v="2"/>
    <n v="0"/>
    <s v="LINHA 60 COM A 156"/>
    <s v="KM 18"/>
    <s v="KM 18"/>
    <s v="ZONA RURAL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150"/>
    <n v="20"/>
    <n v="130"/>
    <n v="0"/>
    <n v="0"/>
    <n v="0"/>
    <n v="6"/>
    <n v="70"/>
    <n v="80"/>
    <n v="0"/>
    <n v="55"/>
    <n v="2"/>
    <n v="93"/>
    <n v="0"/>
    <n v="0"/>
    <n v="0"/>
    <n v="16"/>
    <n v="75"/>
    <n v="55"/>
    <n v="4"/>
    <n v="0"/>
    <x v="0"/>
    <x v="1"/>
    <x v="0"/>
    <x v="1"/>
    <x v="0"/>
    <x v="1"/>
    <s v="Esgoto Fossa"/>
    <x v="2"/>
  </r>
  <r>
    <s v="Norte"/>
    <s v="Rondônia"/>
    <s v="RO"/>
    <n v="11"/>
    <s v="Alta Floresta D'Oeste"/>
    <n v="1100015"/>
    <x v="1"/>
    <s v="EMMEF SAO JORGE"/>
    <n v="11025476"/>
    <x v="1"/>
    <n v="2"/>
    <m/>
    <s v="LINHA 156 COM A 85 ESQUINA COM A 90 KM 53"/>
    <m/>
    <m/>
    <m/>
    <n v="769540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2"/>
    <x v="2"/>
    <m/>
    <x v="3"/>
  </r>
  <r>
    <s v="Norte"/>
    <s v="Rondônia"/>
    <s v="RO"/>
    <n v="11"/>
    <s v="Alta Floresta D'Oeste"/>
    <n v="1100015"/>
    <x v="0"/>
    <s v="EEEF TANCREDO DE ALMEIDA NEVES"/>
    <n v="11025620"/>
    <x v="0"/>
    <n v="1"/>
    <n v="0"/>
    <s v="AVENIDA ALTA FLORESTA"/>
    <s v="2973"/>
    <m/>
    <s v="PRINCESA IZABEL"/>
    <n v="76954000"/>
    <x v="0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29"/>
    <n v="0"/>
    <n v="158"/>
    <n v="0"/>
    <n v="0"/>
    <n v="71"/>
    <n v="11"/>
    <n v="102"/>
    <n v="127"/>
    <n v="0"/>
    <n v="47"/>
    <n v="4"/>
    <n v="173"/>
    <n v="1"/>
    <n v="4"/>
    <n v="0"/>
    <n v="0"/>
    <n v="7"/>
    <n v="132"/>
    <n v="24"/>
    <n v="66"/>
    <x v="1"/>
    <x v="1"/>
    <x v="0"/>
    <x v="4"/>
    <x v="0"/>
    <x v="1"/>
    <s v="Esgoto Fossa"/>
    <x v="1"/>
  </r>
  <r>
    <s v="Norte"/>
    <s v="Rondônia"/>
    <s v="RO"/>
    <n v="11"/>
    <s v="Alta Floresta D'Oeste"/>
    <n v="1100015"/>
    <x v="0"/>
    <s v="COLEGIO TIRADENTES DA POLICIA MILITAR - CTPM XI"/>
    <n v="11025638"/>
    <x v="0"/>
    <n v="1"/>
    <n v="0"/>
    <s v="RUA NEREU RAMOS"/>
    <s v="4581"/>
    <m/>
    <s v="REDONDO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740"/>
    <n v="0"/>
    <n v="418"/>
    <n v="322"/>
    <n v="0"/>
    <n v="0"/>
    <n v="27"/>
    <n v="380"/>
    <n v="360"/>
    <n v="0"/>
    <n v="248"/>
    <n v="21"/>
    <n v="461"/>
    <n v="1"/>
    <n v="9"/>
    <n v="0"/>
    <n v="0"/>
    <n v="50"/>
    <n v="392"/>
    <n v="278"/>
    <n v="20"/>
    <x v="1"/>
    <x v="1"/>
    <x v="0"/>
    <x v="2"/>
    <x v="0"/>
    <x v="1"/>
    <s v="Esgoto Fossa"/>
    <x v="1"/>
  </r>
  <r>
    <s v="Norte"/>
    <s v="Rondônia"/>
    <s v="RO"/>
    <n v="11"/>
    <s v="Alta Floresta D'Oeste"/>
    <n v="1100015"/>
    <x v="1"/>
    <s v="EMEIEF FLORESTA ENCANTADA"/>
    <n v="11025654"/>
    <x v="1"/>
    <n v="1"/>
    <n v="0"/>
    <s v="AV. BAHIA"/>
    <s v="4598"/>
    <m/>
    <s v="CIDADE ALTA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51"/>
    <n v="96"/>
    <n v="355"/>
    <n v="0"/>
    <n v="0"/>
    <n v="0"/>
    <n v="34"/>
    <n v="217"/>
    <n v="234"/>
    <n v="0"/>
    <n v="184"/>
    <n v="4"/>
    <n v="252"/>
    <n v="1"/>
    <n v="10"/>
    <n v="0"/>
    <n v="86"/>
    <n v="353"/>
    <n v="12"/>
    <n v="0"/>
    <n v="0"/>
    <x v="1"/>
    <x v="1"/>
    <x v="0"/>
    <x v="4"/>
    <x v="1"/>
    <x v="1"/>
    <s v="Esgoto Fossa"/>
    <x v="1"/>
  </r>
  <r>
    <s v="Norte"/>
    <s v="Rondônia"/>
    <s v="RO"/>
    <n v="11"/>
    <s v="Alta Floresta D'Oeste"/>
    <n v="1100015"/>
    <x v="0"/>
    <s v="EIEEFM KON KOATT TUPARI"/>
    <n v="11037962"/>
    <x v="0"/>
    <n v="2"/>
    <n v="2"/>
    <s v="TERRA INDIGENA RIO BRANCO"/>
    <s v="S/N"/>
    <s v="ALDEIA CAJUI"/>
    <s v="RURAL"/>
    <n v="76954000"/>
    <x v="0"/>
    <n v="1"/>
    <n v="0"/>
    <n v="0"/>
    <n v="1"/>
    <n v="0"/>
    <n v="0"/>
    <n v="0"/>
    <n v="0"/>
    <n v="0"/>
    <n v="1"/>
    <n v="0"/>
    <n v="0"/>
    <n v="0"/>
    <n v="1"/>
    <n v="1"/>
    <n v="0"/>
    <n v="0"/>
    <n v="1"/>
    <n v="1"/>
    <n v="0"/>
    <n v="0"/>
    <n v="68"/>
    <n v="0"/>
    <n v="44"/>
    <n v="24"/>
    <n v="0"/>
    <n v="0"/>
    <n v="0"/>
    <n v="33"/>
    <n v="35"/>
    <n v="0"/>
    <n v="0"/>
    <n v="0"/>
    <n v="0"/>
    <n v="0"/>
    <n v="68"/>
    <n v="0"/>
    <n v="0"/>
    <n v="13"/>
    <n v="17"/>
    <n v="21"/>
    <n v="17"/>
    <x v="0"/>
    <x v="0"/>
    <x v="0"/>
    <x v="1"/>
    <x v="3"/>
    <x v="0"/>
    <s v="Esgoto Fossa"/>
    <x v="0"/>
  </r>
  <r>
    <s v="Norte"/>
    <s v="Rondônia"/>
    <s v="RO"/>
    <n v="11"/>
    <s v="Alta Floresta D'Oeste"/>
    <n v="1100015"/>
    <x v="0"/>
    <s v="EIEEF SAW D JO TUPARI"/>
    <n v="11038047"/>
    <x v="0"/>
    <n v="2"/>
    <n v="2"/>
    <s v="RESERVA BIOLOGICA VALE DO GUAPORE"/>
    <s v="S/N"/>
    <s v="ALDEIA PALHAL"/>
    <s v="RURAL"/>
    <n v="76954000"/>
    <x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1"/>
    <n v="0"/>
    <n v="0"/>
    <n v="5"/>
    <n v="0"/>
    <n v="5"/>
    <n v="0"/>
    <n v="0"/>
    <n v="0"/>
    <n v="0"/>
    <n v="4"/>
    <n v="1"/>
    <n v="0"/>
    <n v="0"/>
    <n v="0"/>
    <n v="0"/>
    <n v="0"/>
    <n v="5"/>
    <n v="0"/>
    <n v="0"/>
    <n v="4"/>
    <n v="1"/>
    <n v="0"/>
    <n v="0"/>
    <x v="0"/>
    <x v="0"/>
    <x v="0"/>
    <x v="0"/>
    <x v="0"/>
    <x v="0"/>
    <s v="Esgoto Fossa"/>
    <x v="0"/>
  </r>
  <r>
    <s v="Norte"/>
    <s v="Rondônia"/>
    <s v="RO"/>
    <n v="11"/>
    <s v="Alta Floresta D'Oeste"/>
    <n v="1100015"/>
    <x v="0"/>
    <s v="EIEEFM BOATT GERAINNY"/>
    <n v="11038373"/>
    <x v="0"/>
    <n v="2"/>
    <n v="2"/>
    <s v="TERRA INDIGENA RIO BRANCO"/>
    <s v="S/N"/>
    <s v="ALDEIA SAO LUIZ"/>
    <s v="RURAL"/>
    <n v="76954000"/>
    <x v="0"/>
    <n v="1"/>
    <n v="0"/>
    <n v="0"/>
    <n v="1"/>
    <n v="0"/>
    <n v="0"/>
    <n v="0"/>
    <n v="1"/>
    <n v="0"/>
    <n v="0"/>
    <n v="0"/>
    <n v="0"/>
    <n v="0"/>
    <n v="1"/>
    <n v="1"/>
    <n v="0"/>
    <n v="0"/>
    <n v="1"/>
    <n v="1"/>
    <n v="0"/>
    <n v="0"/>
    <n v="84"/>
    <n v="0"/>
    <n v="66"/>
    <n v="18"/>
    <n v="0"/>
    <n v="0"/>
    <n v="0"/>
    <n v="53"/>
    <n v="31"/>
    <n v="0"/>
    <n v="0"/>
    <n v="0"/>
    <n v="1"/>
    <n v="0"/>
    <n v="83"/>
    <n v="0"/>
    <n v="0"/>
    <n v="26"/>
    <n v="17"/>
    <n v="17"/>
    <n v="24"/>
    <x v="0"/>
    <x v="0"/>
    <x v="0"/>
    <x v="1"/>
    <x v="3"/>
    <x v="1"/>
    <s v="Esgoto Fossa"/>
    <x v="0"/>
  </r>
  <r>
    <s v="Norte"/>
    <s v="Rondônia"/>
    <s v="RO"/>
    <n v="11"/>
    <s v="Alta Floresta D'Oeste"/>
    <n v="1100015"/>
    <x v="1"/>
    <s v="CRECHE MUNICIPAL CANTINHO DA ALEGRIA"/>
    <n v="11039493"/>
    <x v="1"/>
    <n v="1"/>
    <n v="0"/>
    <s v="RUA TERESINA"/>
    <s v="Nº 7802"/>
    <s v="PREDIO"/>
    <s v="REDONDO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26"/>
    <n v="126"/>
    <n v="0"/>
    <n v="0"/>
    <n v="0"/>
    <n v="0"/>
    <n v="5"/>
    <n v="53"/>
    <n v="73"/>
    <n v="1"/>
    <n v="57"/>
    <n v="5"/>
    <n v="63"/>
    <n v="0"/>
    <n v="0"/>
    <n v="114"/>
    <n v="12"/>
    <n v="0"/>
    <n v="0"/>
    <n v="0"/>
    <n v="0"/>
    <x v="1"/>
    <x v="1"/>
    <x v="0"/>
    <x v="1"/>
    <x v="0"/>
    <x v="1"/>
    <s v="Esgoto Fossa"/>
    <x v="1"/>
  </r>
  <r>
    <s v="Norte"/>
    <s v="Rondônia"/>
    <s v="RO"/>
    <n v="11"/>
    <s v="Alta Floresta D'Oeste"/>
    <n v="1100015"/>
    <x v="0"/>
    <s v="EIEEF MEKITOM TUPARI"/>
    <n v="11046236"/>
    <x v="0"/>
    <n v="2"/>
    <n v="2"/>
    <s v="TERRA INDIGENA RIO BRANCO"/>
    <m/>
    <s v="ALDEIA POCAO"/>
    <s v="RURAL"/>
    <n v="76954000"/>
    <x v="0"/>
    <n v="1"/>
    <n v="0"/>
    <n v="1"/>
    <n v="0"/>
    <n v="0"/>
    <n v="0"/>
    <n v="0"/>
    <n v="0"/>
    <n v="0"/>
    <n v="0"/>
    <n v="1"/>
    <n v="0"/>
    <n v="0"/>
    <n v="1"/>
    <n v="1"/>
    <n v="0"/>
    <n v="0"/>
    <n v="1"/>
    <n v="1"/>
    <n v="0"/>
    <n v="0"/>
    <n v="3"/>
    <n v="0"/>
    <n v="3"/>
    <n v="0"/>
    <n v="0"/>
    <n v="0"/>
    <n v="0"/>
    <n v="1"/>
    <n v="2"/>
    <n v="0"/>
    <n v="0"/>
    <n v="0"/>
    <n v="0"/>
    <n v="0"/>
    <n v="3"/>
    <n v="0"/>
    <n v="0"/>
    <n v="3"/>
    <n v="0"/>
    <n v="0"/>
    <n v="0"/>
    <x v="0"/>
    <x v="0"/>
    <x v="0"/>
    <x v="0"/>
    <x v="0"/>
    <x v="3"/>
    <s v="Esgoto Fossa"/>
    <x v="0"/>
  </r>
  <r>
    <s v="Norte"/>
    <s v="Rondônia"/>
    <s v="RO"/>
    <n v="11"/>
    <s v="Alta Floresta D'Oeste"/>
    <n v="1100015"/>
    <x v="0"/>
    <s v="EIEEF AMEN KOARE TUPARI"/>
    <n v="11046244"/>
    <x v="0"/>
    <n v="2"/>
    <n v="2"/>
    <s v="TERRA INDIGENA RIO BRANCO"/>
    <s v="S/N"/>
    <s v="ALDEIA FIGUEIRA"/>
    <s v="RURAL"/>
    <n v="76954000"/>
    <x v="0"/>
    <n v="1"/>
    <n v="0"/>
    <n v="0"/>
    <n v="1"/>
    <n v="0"/>
    <n v="0"/>
    <n v="0"/>
    <n v="0"/>
    <n v="0"/>
    <n v="0"/>
    <n v="1"/>
    <n v="0"/>
    <n v="0"/>
    <n v="1"/>
    <n v="1"/>
    <n v="0"/>
    <n v="0"/>
    <n v="1"/>
    <n v="1"/>
    <n v="0"/>
    <n v="0"/>
    <n v="4"/>
    <n v="0"/>
    <n v="4"/>
    <n v="0"/>
    <n v="0"/>
    <n v="0"/>
    <n v="0"/>
    <n v="2"/>
    <n v="2"/>
    <n v="0"/>
    <n v="0"/>
    <n v="0"/>
    <n v="0"/>
    <n v="0"/>
    <n v="4"/>
    <n v="0"/>
    <n v="0"/>
    <n v="3"/>
    <n v="1"/>
    <n v="0"/>
    <n v="0"/>
    <x v="0"/>
    <x v="0"/>
    <x v="0"/>
    <x v="0"/>
    <x v="3"/>
    <x v="3"/>
    <s v="Esgoto Fossa"/>
    <x v="0"/>
  </r>
  <r>
    <s v="Norte"/>
    <s v="Rondônia"/>
    <s v="RO"/>
    <n v="11"/>
    <s v="Alta Floresta D'Oeste"/>
    <n v="1100015"/>
    <x v="0"/>
    <s v="EIEEFM ANOMAE TUPARI"/>
    <n v="11046252"/>
    <x v="0"/>
    <n v="2"/>
    <n v="2"/>
    <s v="TERRA INDIGENA RIO BRANCO"/>
    <s v="S/N"/>
    <s v="ALDEIA SERRINHA"/>
    <s v="RURAL"/>
    <n v="76954000"/>
    <x v="0"/>
    <n v="1"/>
    <n v="0"/>
    <n v="0"/>
    <n v="1"/>
    <n v="0"/>
    <n v="0"/>
    <n v="0"/>
    <n v="1"/>
    <n v="0"/>
    <n v="0"/>
    <n v="0"/>
    <n v="0"/>
    <n v="0"/>
    <n v="1"/>
    <n v="1"/>
    <n v="0"/>
    <n v="0"/>
    <n v="1"/>
    <n v="1"/>
    <n v="0"/>
    <n v="0"/>
    <n v="100"/>
    <n v="0"/>
    <n v="70"/>
    <n v="30"/>
    <n v="0"/>
    <n v="0"/>
    <n v="0"/>
    <n v="53"/>
    <n v="47"/>
    <n v="0"/>
    <n v="1"/>
    <n v="0"/>
    <n v="0"/>
    <n v="0"/>
    <n v="99"/>
    <n v="0"/>
    <n v="0"/>
    <n v="32"/>
    <n v="22"/>
    <n v="24"/>
    <n v="22"/>
    <x v="0"/>
    <x v="0"/>
    <x v="0"/>
    <x v="1"/>
    <x v="3"/>
    <x v="1"/>
    <s v="Esgoto Fossa"/>
    <x v="0"/>
  </r>
  <r>
    <s v="Norte"/>
    <s v="Rondônia"/>
    <s v="RO"/>
    <n v="11"/>
    <s v="Alta Floresta D'Oeste"/>
    <n v="1100015"/>
    <x v="2"/>
    <s v="CENTRO EDUCACIONAL DR ANTONIO LAZARO DE MOURA"/>
    <n v="11046864"/>
    <x v="2"/>
    <n v="1"/>
    <n v="0"/>
    <s v="AV MINAS GERAIS ESQUINA COM A FORTALEZA"/>
    <s v="4405"/>
    <m/>
    <s v="CIDADE ALTA"/>
    <n v="76954000"/>
    <x v="0"/>
    <n v="1"/>
    <n v="1"/>
    <n v="0"/>
    <n v="0"/>
    <n v="0"/>
    <n v="0"/>
    <n v="0"/>
    <n v="0"/>
    <n v="0"/>
    <n v="1"/>
    <n v="0"/>
    <n v="0"/>
    <n v="0"/>
    <n v="1"/>
    <n v="1"/>
    <n v="0"/>
    <n v="1"/>
    <n v="0"/>
    <n v="0"/>
    <n v="0"/>
    <n v="0"/>
    <m/>
    <m/>
    <m/>
    <m/>
    <m/>
    <m/>
    <m/>
    <m/>
    <m/>
    <m/>
    <m/>
    <m/>
    <m/>
    <m/>
    <m/>
    <m/>
    <m/>
    <m/>
    <m/>
    <m/>
    <m/>
    <x v="1"/>
    <x v="1"/>
    <x v="0"/>
    <x v="3"/>
    <x v="1"/>
    <x v="0"/>
    <s v="Esgoto Fossa"/>
    <x v="1"/>
  </r>
  <r>
    <s v="Norte"/>
    <s v="Rondônia"/>
    <s v="RO"/>
    <n v="11"/>
    <s v="Alta Floresta D'Oeste"/>
    <n v="1100015"/>
    <x v="1"/>
    <s v="EMEI MONTEIRO LOBATO"/>
    <n v="11047402"/>
    <x v="1"/>
    <n v="1"/>
    <n v="0"/>
    <s v="RUA ACRE ESQUINA COM AVENIDA NILO PECANHA"/>
    <s v="4357"/>
    <m/>
    <s v="REDONDO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96"/>
    <n v="296"/>
    <n v="0"/>
    <n v="0"/>
    <n v="0"/>
    <n v="0"/>
    <n v="21"/>
    <n v="150"/>
    <n v="146"/>
    <n v="0"/>
    <n v="116"/>
    <n v="2"/>
    <n v="176"/>
    <n v="1"/>
    <n v="1"/>
    <n v="0"/>
    <n v="270"/>
    <n v="26"/>
    <n v="0"/>
    <n v="0"/>
    <n v="0"/>
    <x v="1"/>
    <x v="1"/>
    <x v="0"/>
    <x v="4"/>
    <x v="1"/>
    <x v="1"/>
    <s v="Esgoto Fossa"/>
    <x v="1"/>
  </r>
  <r>
    <s v="Norte"/>
    <s v="Rondônia"/>
    <s v="RO"/>
    <n v="11"/>
    <s v="Alta Floresta D'Oeste"/>
    <n v="1100015"/>
    <x v="1"/>
    <s v="EMEIEF 17 DE JUNHO"/>
    <n v="11047461"/>
    <x v="1"/>
    <n v="1"/>
    <n v="0"/>
    <s v="AVENIDA BRASIL"/>
    <s v="2934"/>
    <m/>
    <s v="REDONDO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27"/>
    <n v="71"/>
    <n v="356"/>
    <n v="0"/>
    <n v="0"/>
    <n v="0"/>
    <n v="16"/>
    <n v="206"/>
    <n v="221"/>
    <n v="0"/>
    <n v="126"/>
    <n v="3"/>
    <n v="293"/>
    <n v="0"/>
    <n v="5"/>
    <n v="0"/>
    <n v="56"/>
    <n v="362"/>
    <n v="8"/>
    <n v="0"/>
    <n v="1"/>
    <x v="1"/>
    <x v="1"/>
    <x v="0"/>
    <x v="4"/>
    <x v="1"/>
    <x v="1"/>
    <s v="Esgoto Fossa"/>
    <x v="1"/>
  </r>
  <r>
    <s v="Norte"/>
    <s v="Rondônia"/>
    <s v="RO"/>
    <n v="11"/>
    <s v="Alta Floresta D'Oeste"/>
    <n v="1100015"/>
    <x v="1"/>
    <s v="EMMEF HERBERT JOSE DE SOUSA"/>
    <n v="11049782"/>
    <x v="1"/>
    <n v="2"/>
    <m/>
    <s v="LINHA 144 KM 50"/>
    <s v="SN"/>
    <s v="ZONA RURAL"/>
    <m/>
    <n v="769540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2"/>
    <x v="2"/>
    <m/>
    <x v="3"/>
  </r>
  <r>
    <s v="Norte"/>
    <s v="Rondônia"/>
    <s v="RO"/>
    <n v="11"/>
    <s v="Alta Floresta D'Oeste"/>
    <n v="1100015"/>
    <x v="1"/>
    <s v="EMEF MARIOMA PEREIRA DA SILVA"/>
    <n v="11050594"/>
    <x v="1"/>
    <n v="1"/>
    <n v="0"/>
    <s v="RUA FORTALEZA"/>
    <s v="4321"/>
    <m/>
    <s v="CIDADE ALTA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80"/>
    <n v="0"/>
    <n v="280"/>
    <n v="0"/>
    <n v="0"/>
    <n v="0"/>
    <n v="14"/>
    <n v="143"/>
    <n v="137"/>
    <n v="1"/>
    <n v="109"/>
    <n v="2"/>
    <n v="165"/>
    <n v="1"/>
    <n v="2"/>
    <n v="0"/>
    <n v="0"/>
    <n v="276"/>
    <n v="4"/>
    <n v="0"/>
    <n v="0"/>
    <x v="1"/>
    <x v="1"/>
    <x v="0"/>
    <x v="4"/>
    <x v="1"/>
    <x v="1"/>
    <s v="Esgoto Fossa"/>
    <x v="1"/>
  </r>
  <r>
    <s v="Norte"/>
    <s v="Rondônia"/>
    <s v="RO"/>
    <n v="11"/>
    <s v="Alta Floresta D'Oeste"/>
    <n v="1100015"/>
    <x v="1"/>
    <s v="CRECHE MUNICIPAL HEITOR MOREIRA UGOLINI"/>
    <n v="11051264"/>
    <x v="1"/>
    <n v="1"/>
    <n v="0"/>
    <s v="RUA TANCREDO NEVES"/>
    <s v="4849"/>
    <m/>
    <s v="SANTA FELICIDADE"/>
    <n v="76954000"/>
    <x v="0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11"/>
    <n v="111"/>
    <n v="0"/>
    <n v="0"/>
    <n v="0"/>
    <n v="0"/>
    <n v="5"/>
    <n v="61"/>
    <n v="50"/>
    <n v="0"/>
    <n v="54"/>
    <n v="2"/>
    <n v="55"/>
    <n v="0"/>
    <n v="0"/>
    <n v="101"/>
    <n v="10"/>
    <n v="0"/>
    <n v="0"/>
    <n v="0"/>
    <n v="0"/>
    <x v="1"/>
    <x v="1"/>
    <x v="0"/>
    <x v="1"/>
    <x v="1"/>
    <x v="1"/>
    <s v="Esgoto Fossa"/>
    <x v="1"/>
  </r>
  <r>
    <s v="Norte"/>
    <s v="Rondônia"/>
    <s v="RO"/>
    <n v="11"/>
    <s v="Alta Floresta D'Oeste"/>
    <n v="1100015"/>
    <x v="1"/>
    <s v="EMEIEF PADRE FEIJO"/>
    <n v="11025280"/>
    <x v="1"/>
    <n v="2"/>
    <n v="0"/>
    <s v="LINHA 105 COM A 152"/>
    <s v="SN"/>
    <s v="DISTR. DE FILADELFIA"/>
    <s v="ZONA RURAL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96"/>
    <n v="17"/>
    <n v="79"/>
    <n v="0"/>
    <n v="0"/>
    <n v="0"/>
    <n v="1"/>
    <n v="34"/>
    <n v="62"/>
    <n v="0"/>
    <n v="36"/>
    <n v="0"/>
    <n v="60"/>
    <n v="0"/>
    <n v="0"/>
    <n v="0"/>
    <n v="15"/>
    <n v="43"/>
    <n v="37"/>
    <n v="1"/>
    <n v="0"/>
    <x v="0"/>
    <x v="1"/>
    <x v="0"/>
    <x v="1"/>
    <x v="0"/>
    <x v="1"/>
    <s v="Esgoto Fossa"/>
    <x v="2"/>
  </r>
  <r>
    <s v="Norte"/>
    <s v="Rondônia"/>
    <s v="RO"/>
    <n v="11"/>
    <s v="Alta Floresta D'Oeste"/>
    <n v="1100015"/>
    <x v="1"/>
    <s v="EMEIEF IZIDORO STEDILE"/>
    <n v="11024828"/>
    <x v="1"/>
    <n v="2"/>
    <n v="0"/>
    <s v="LINHA 138 KM 100"/>
    <s v="S/N"/>
    <s v="DISTRITO"/>
    <s v="IZIDOLANDIA"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29"/>
    <n v="18"/>
    <n v="111"/>
    <n v="0"/>
    <n v="0"/>
    <n v="0"/>
    <n v="0"/>
    <n v="65"/>
    <n v="64"/>
    <n v="0"/>
    <n v="49"/>
    <n v="1"/>
    <n v="75"/>
    <n v="0"/>
    <n v="4"/>
    <n v="0"/>
    <n v="15"/>
    <n v="61"/>
    <n v="50"/>
    <n v="2"/>
    <n v="1"/>
    <x v="0"/>
    <x v="1"/>
    <x v="0"/>
    <x v="1"/>
    <x v="0"/>
    <x v="1"/>
    <s v="Esgoto Fossa"/>
    <x v="1"/>
  </r>
  <r>
    <s v="Norte"/>
    <s v="Rondônia"/>
    <s v="RO"/>
    <n v="11"/>
    <s v="Alta Floresta D'Oeste"/>
    <n v="1100015"/>
    <x v="1"/>
    <s v="EMEIEF MARIA DE SOUZA PEGO"/>
    <n v="11025077"/>
    <x v="1"/>
    <n v="2"/>
    <n v="0"/>
    <s v="LINHA 47,5"/>
    <m/>
    <m/>
    <m/>
    <n v="76954000"/>
    <x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92"/>
    <n v="22"/>
    <n v="70"/>
    <n v="0"/>
    <n v="0"/>
    <n v="0"/>
    <n v="0"/>
    <n v="41"/>
    <n v="51"/>
    <n v="1"/>
    <n v="27"/>
    <n v="3"/>
    <n v="56"/>
    <n v="0"/>
    <n v="5"/>
    <n v="0"/>
    <n v="20"/>
    <n v="45"/>
    <n v="26"/>
    <n v="1"/>
    <n v="0"/>
    <x v="0"/>
    <x v="1"/>
    <x v="0"/>
    <x v="1"/>
    <x v="0"/>
    <x v="1"/>
    <s v="Esgoto Fossa"/>
    <x v="2"/>
  </r>
  <r>
    <s v="Norte"/>
    <s v="Rondônia"/>
    <s v="RO"/>
    <n v="11"/>
    <s v="Alta Floresta D'Oeste"/>
    <n v="1100015"/>
    <x v="1"/>
    <s v="EMEIEF ANA NERY"/>
    <n v="11024372"/>
    <x v="1"/>
    <n v="2"/>
    <n v="0"/>
    <s v="ROLIM DE MOURA DO GUAPORE"/>
    <m/>
    <s v="ZONA RURAL"/>
    <m/>
    <n v="76954000"/>
    <x v="0"/>
    <n v="1"/>
    <n v="0"/>
    <n v="0"/>
    <n v="1"/>
    <n v="0"/>
    <n v="0"/>
    <n v="0"/>
    <n v="1"/>
    <n v="0"/>
    <n v="0"/>
    <n v="0"/>
    <n v="0"/>
    <n v="1"/>
    <n v="0"/>
    <n v="1"/>
    <n v="0"/>
    <n v="1"/>
    <n v="0"/>
    <n v="0"/>
    <n v="0"/>
    <n v="0"/>
    <n v="96"/>
    <n v="23"/>
    <n v="73"/>
    <n v="0"/>
    <n v="0"/>
    <n v="0"/>
    <n v="2"/>
    <n v="42"/>
    <n v="54"/>
    <n v="0"/>
    <n v="10"/>
    <n v="3"/>
    <n v="51"/>
    <n v="0"/>
    <n v="32"/>
    <n v="0"/>
    <n v="19"/>
    <n v="38"/>
    <n v="39"/>
    <n v="0"/>
    <n v="0"/>
    <x v="0"/>
    <x v="1"/>
    <x v="0"/>
    <x v="1"/>
    <x v="3"/>
    <x v="1"/>
    <s v="Esgoto Foss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D9F6A-0578-429E-9BB6-7FC98E1CA3F5}" name="Tabela dinâmica1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5:B48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0"/>
  </rowFields>
  <rowItems count="3">
    <i>
      <x/>
    </i>
    <i>
      <x v="1"/>
    </i>
    <i t="grand">
      <x/>
    </i>
  </rowItems>
  <colItems count="1">
    <i/>
  </colItems>
  <dataFields count="1">
    <dataField name="Contagem de Localizacao.LOCALIZACAO" fld="60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8321E-CA23-4A92-94AB-08FEE5D7C437}" name="Tabela dinâmica10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0:B33" firstHeaderRow="1" firstDataRow="1" firstDataCol="1"/>
  <pivotFields count="1">
    <pivotField axis="axisRow" dataField="1" showAll="0">
      <items count="4">
        <item x="0"/>
        <item m="1" x="2"/>
        <item x="1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Contagem de Infraestrutura_Esgoto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CFD17-5F6D-4E65-9F96-3CB2928677F3}" name="Tabela dinâmica5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7:B41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m="1" x="5"/>
        <item m="1" x="4"/>
        <item x="1"/>
        <item x="3"/>
        <item x="0"/>
        <item x="2"/>
        <item t="default"/>
      </items>
    </pivotField>
  </pivotFields>
  <rowFields count="1">
    <field x="67"/>
  </rowFields>
  <rowItems count="4">
    <i>
      <x v="2"/>
    </i>
    <i>
      <x v="4"/>
    </i>
    <i>
      <x v="5"/>
    </i>
    <i t="grand">
      <x/>
    </i>
  </rowItems>
  <colItems count="1">
    <i/>
  </colItems>
  <dataFields count="1">
    <dataField name="Contagem de Infraestrutura_Lixo" fld="67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769FF-8FF2-4643-934A-4CA9A4460113}" name="Tabela dinâmica3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24:B28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65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ntagem de Infraestrutura_Energia" fld="65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85813-C04C-4D5D-9D77-47E17203A7DC}" name="Tabela dinâmica2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5:B19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6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ntagem de Infraestrutura_Agua" fld="64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15D23-96ED-4DB4-BFD5-F3D76B5F8E9A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7">
        <item x="2"/>
        <item x="4"/>
        <item x="0"/>
        <item n="pio" m="1" x="5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6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ntagem de Tamanho_Escola" fld="63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5ADB11CC-BBF7-4290-86E6-2B8EECFB2D4F}" autoFormatId="16" applyNumberFormats="0" applyBorderFormats="0" applyFontFormats="0" applyPatternFormats="0" applyAlignmentFormats="0" applyWidthHeightFormats="0">
  <queryTableRefresh nextId="3">
    <queryTableFields count="2">
      <queryTableField id="1" name="TP_SITUACAO_FUNCIONAMENTO" tableColumnId="1"/>
      <queryTableField id="2" name="SITUACA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6" xr16:uid="{9ADD941B-922D-4444-B0FB-CD64D565646D}" autoFormatId="16" applyNumberFormats="0" applyBorderFormats="0" applyFontFormats="0" applyPatternFormats="0" applyAlignmentFormats="0" applyWidthHeightFormats="0">
  <queryTableRefresh nextId="70">
    <queryTableFields count="68">
      <queryTableField id="1" name="NO_REGIAO" tableColumnId="1"/>
      <queryTableField id="2" name="NO_UF" tableColumnId="2"/>
      <queryTableField id="3" name="SG_UF" tableColumnId="3"/>
      <queryTableField id="4" name="CO_UF" tableColumnId="4"/>
      <queryTableField id="5" name="NO_MUNICIPIO" tableColumnId="5"/>
      <queryTableField id="6" name="CO_MUNICIPIO" tableColumnId="6"/>
      <queryTableField id="7" name="Dependencia.DEPENDENCIA" tableColumnId="7"/>
      <queryTableField id="8" name="NO_ENTIDADE" tableColumnId="8"/>
      <queryTableField id="9" name="CO_ENTIDADE" tableColumnId="9"/>
      <queryTableField id="10" name="TP_DEPENDENCIA" tableColumnId="10"/>
      <queryTableField id="11" name="TP_LOCALIZACAO" tableColumnId="11"/>
      <queryTableField id="12" name="TP_LOCALIZACAO_DIFERENCIADA" tableColumnId="12"/>
      <queryTableField id="13" name="DS_ENDERECO" tableColumnId="13"/>
      <queryTableField id="14" name="NU_ENDERECO" tableColumnId="14"/>
      <queryTableField id="15" name="DS_COMPLEMENTO" tableColumnId="15"/>
      <queryTableField id="16" name="NO_BAIRRO" tableColumnId="16"/>
      <queryTableField id="17" name="CO_CEP" tableColumnId="17"/>
      <queryTableField id="18" name="TP_SITUACAO_FUNCIONAMENTO" tableColumnId="18"/>
      <queryTableField id="19" name="IN_AGUA_POTAVEL" tableColumnId="19"/>
      <queryTableField id="20" name="IN_AGUA_REDE_PUBLICA" tableColumnId="20"/>
      <queryTableField id="21" name="IN_AGUA_POCO_ARTESIANO" tableColumnId="21"/>
      <queryTableField id="22" name="IN_AGUA_CACIMBA" tableColumnId="22"/>
      <queryTableField id="23" name="IN_AGUA_FONTE_RIO" tableColumnId="23"/>
      <queryTableField id="24" name="IN_AGUA_INEXISTENTE" tableColumnId="24"/>
      <queryTableField id="25" name="IN_AGUA_CARRO_PIPA" tableColumnId="25"/>
      <queryTableField id="26" name="IN_ENERGIA_REDE_PUBLICA" tableColumnId="26"/>
      <queryTableField id="27" name="IN_ENERGIA_GERADOR_FOSSIL" tableColumnId="27"/>
      <queryTableField id="28" name="IN_ENERGIA_RENOVAVEL" tableColumnId="28"/>
      <queryTableField id="29" name="IN_ENERGIA_INEXISTENTE" tableColumnId="29"/>
      <queryTableField id="30" name="IN_ESGOTO_REDE_PUBLICA" tableColumnId="30"/>
      <queryTableField id="31" name="IN_ESGOTO_FOSSA_SEPTICA" tableColumnId="31"/>
      <queryTableField id="32" name="IN_ESGOTO_FOSSA_COMUM" tableColumnId="32"/>
      <queryTableField id="33" name="IN_ESGOTO_FOSSA" tableColumnId="33"/>
      <queryTableField id="34" name="IN_ESGOTO_INEXISTENTE" tableColumnId="34"/>
      <queryTableField id="35" name="IN_LIXO_SERVICO_COLETA" tableColumnId="35"/>
      <queryTableField id="36" name="IN_LIXO_QUEIMA" tableColumnId="36"/>
      <queryTableField id="37" name="IN_LIXO_ENTERRA" tableColumnId="37"/>
      <queryTableField id="38" name="IN_LIXO_DESTINO_FINAL_PUBLICO" tableColumnId="38"/>
      <queryTableField id="39" name="IN_LIXO_DESCARTA_OUTRA_AREA" tableColumnId="39"/>
      <queryTableField id="40" name="QT_MAT_BAS" tableColumnId="40"/>
      <queryTableField id="41" name="QT_MAT_INF" tableColumnId="41"/>
      <queryTableField id="42" name="QT_MAT_FUND" tableColumnId="42"/>
      <queryTableField id="43" name="QT_MAT_MED" tableColumnId="43"/>
      <queryTableField id="44" name="QT_MAT_PROF" tableColumnId="44"/>
      <queryTableField id="45" name="QT_MAT_EJA" tableColumnId="45"/>
      <queryTableField id="46" name="QT_MAT_ESP" tableColumnId="46"/>
      <queryTableField id="47" name="QT_MAT_BAS_FEM" tableColumnId="47"/>
      <queryTableField id="48" name="QT_MAT_BAS_MASC" tableColumnId="48"/>
      <queryTableField id="49" name="QT_MAT_BAS_ND" tableColumnId="49"/>
      <queryTableField id="50" name="QT_MAT_BAS_BRANCA" tableColumnId="50"/>
      <queryTableField id="51" name="QT_MAT_BAS_PRETA" tableColumnId="51"/>
      <queryTableField id="52" name="QT_MAT_BAS_PARDA" tableColumnId="52"/>
      <queryTableField id="53" name="QT_MAT_BAS_AMARELA" tableColumnId="53"/>
      <queryTableField id="54" name="QT_MAT_BAS_INDIGENA" tableColumnId="54"/>
      <queryTableField id="55" name="QT_MAT_BAS_0_3" tableColumnId="55"/>
      <queryTableField id="56" name="QT_MAT_BAS_4_5" tableColumnId="56"/>
      <queryTableField id="57" name="QT_MAT_BAS_6_10" tableColumnId="57"/>
      <queryTableField id="58" name="QT_MAT_BAS_11_14" tableColumnId="58"/>
      <queryTableField id="59" name="QT_MAT_BAS_15_17" tableColumnId="59"/>
      <queryTableField id="60" name="QT_MAT_BAS_18_MAIS" tableColumnId="60"/>
      <queryTableField id="61" name="Localizacao.LOCALIZACAO" tableColumnId="61"/>
      <queryTableField id="62" name="LocDiferenciada.LOC_DIFERENCIADA" tableColumnId="62"/>
      <queryTableField id="63" name="Situacao.SITUACAO" tableColumnId="63"/>
      <queryTableField id="64" name="Tamanho_Escola" tableColumnId="64"/>
      <queryTableField id="65" name="Infraestrutura_Agua" tableColumnId="65"/>
      <queryTableField id="66" name="Infraestrutura_Energia" tableColumnId="66"/>
      <queryTableField id="67" name="Infraestrutura_Esgoto" tableColumnId="67"/>
      <queryTableField id="68" name="Infraestrutura_Lixo" tableColumnId="6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EC67568-4C41-409F-8715-4A938FEC0460}" autoFormatId="16" applyNumberFormats="0" applyBorderFormats="0" applyFontFormats="0" applyPatternFormats="0" applyAlignmentFormats="0" applyWidthHeightFormats="0">
  <queryTableRefresh nextId="3">
    <queryTableFields count="2">
      <queryTableField id="1" name="Sigla do Estado (UF)" tableColumnId="1"/>
      <queryTableField id="2" name="Município 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59C2CFAB-E4AD-4CB9-8AB2-7F5EF75B4E76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_DIFERENCIADA" tableColumnId="1"/>
      <queryTableField id="2" name="LOC_DIFERENCIAD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0194624C-2D87-4A93-992D-D5A3DF17BADA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" tableColumnId="1"/>
      <queryTableField id="2" name="LOCALIZACA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3D39BCC-351E-4ADC-806F-098E20E5D592}" autoFormatId="16" applyNumberFormats="0" applyBorderFormats="0" applyFontFormats="0" applyPatternFormats="0" applyAlignmentFormats="0" applyWidthHeightFormats="0">
  <queryTableRefresh nextId="3">
    <queryTableFields count="2">
      <queryTableField id="1" name="TP_DEPENDENCIA" tableColumnId="1"/>
      <queryTableField id="2" name="DEPENDENCIA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endencia.DEPENDENCIA" xr10:uid="{3E466C85-3AD3-4460-BA74-4388B22E8604}" sourceName="Dependencia.DEPENDENCIA">
  <pivotTables>
    <pivotTable tabId="12" name="Tabela dinâmica1"/>
    <pivotTable tabId="12" name="Tabela dinâmica11"/>
    <pivotTable tabId="12" name="Tabela dinâmica2"/>
    <pivotTable tabId="12" name="Tabela dinâmica3"/>
    <pivotTable tabId="12" name="Tabela dinâmica5"/>
  </pivotTables>
  <data>
    <tabular pivotCacheId="141219955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izacao.LOCALIZACAO" xr10:uid="{3C83F25A-DA51-4BF5-8C44-EF1CD5983031}" sourceName="Localizacao.LOCALIZACAO">
  <pivotTables>
    <pivotTable tabId="12" name="Tabela dinâmica1"/>
    <pivotTable tabId="12" name="Tabela dinâmica11"/>
    <pivotTable tabId="12" name="Tabela dinâmica2"/>
    <pivotTable tabId="12" name="Tabela dinâmica3"/>
    <pivotTable tabId="12" name="Tabela dinâmica5"/>
  </pivotTables>
  <data>
    <tabular pivotCacheId="141219955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Diferenciada.LOC_DIFERENCIADA" xr10:uid="{68EED5A8-C42D-4238-A559-069FC6583A38}" sourceName="LocDiferenciada.LOC_DIFERENCIADA">
  <pivotTables>
    <pivotTable tabId="12" name="Tabela dinâmica1"/>
    <pivotTable tabId="12" name="Tabela dinâmica11"/>
    <pivotTable tabId="12" name="Tabela dinâmica2"/>
    <pivotTable tabId="12" name="Tabela dinâmica3"/>
    <pivotTable tabId="12" name="Tabela dinâmica5"/>
  </pivotTables>
  <data>
    <tabular pivotCacheId="1412199555">
      <items count="3">
        <i x="1" s="1"/>
        <i x="0" s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ituacao.SITUACAO" xr10:uid="{9E1645EE-2A5D-45F9-8FBB-FDDDE783ADAF}" sourceName="Situacao.SITUACAO">
  <pivotTables>
    <pivotTable tabId="12" name="Tabela dinâmica1"/>
    <pivotTable tabId="12" name="Tabela dinâmica11"/>
    <pivotTable tabId="12" name="Tabela dinâmica2"/>
    <pivotTable tabId="12" name="Tabela dinâmica3"/>
    <pivotTable tabId="12" name="Tabela dinâmica5"/>
  </pivotTables>
  <data>
    <tabular pivotCacheId="1412199555">
      <items count="2">
        <i x="0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endencia.DEPENDENCIA" xr10:uid="{932B7DA9-954C-4EB3-948E-7296946D2668}" cache="SegmentaçãodeDados_Dependencia.DEPENDENCIA" caption="Dependencia.DEPENDENCIA" rowHeight="247650"/>
  <slicer name="Localizacao.LOCALIZACAO" xr10:uid="{C9361DDA-3EA3-45A5-A3E4-7117318C6AA7}" cache="SegmentaçãodeDados_Localizacao.LOCALIZACAO" caption="Localizacao.LOCALIZACAO" rowHeight="247650"/>
  <slicer name="LocDiferenciada.LOC_DIFERENCIADA" xr10:uid="{E2FE7EEA-4337-4781-924A-69194456CA0A}" cache="SegmentaçãodeDados_LocDiferenciada.LOC_DIFERENCIADA" caption="LocDiferenciada.LOC_DIFERENCIADA" rowHeight="247650"/>
  <slicer name="Situacao.SITUACAO" xr10:uid="{5FBD0F09-B1B6-45F0-97F8-201450A4C683}" cache="SegmentaçãodeDados_Situacao.SITUACAO" caption="Situacao.SITUACAO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E8E59-D548-46C3-A9CD-EFED324DE748}" name="Situacao" displayName="Situacao" ref="A1:B5" tableType="queryTable" totalsRowShown="0">
  <autoFilter ref="A1:B5" xr:uid="{6CDE8E59-D548-46C3-A9CD-EFED324DE748}"/>
  <tableColumns count="2">
    <tableColumn id="1" xr3:uid="{31F485BD-B498-412A-A7A8-E411DE35FC9A}" uniqueName="1" name="TP_SITUACAO_FUNCIONAMENTO" queryTableFieldId="1"/>
    <tableColumn id="2" xr3:uid="{ED5620DE-D15E-43D7-987A-A545BE456064}" uniqueName="2" name="SITUACAO" queryTableFieldId="2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CCB954-1346-4EE4-8CDE-406060E906B4}" name="Microdados" displayName="Microdados" ref="A1:BP33" tableType="queryTable" totalsRowShown="0">
  <autoFilter ref="A1:BP33" xr:uid="{5CCCB954-1346-4EE4-8CDE-406060E906B4}"/>
  <tableColumns count="68">
    <tableColumn id="1" xr3:uid="{941E46FA-1C2A-4BE0-908A-CAF732A50793}" uniqueName="1" name="NO_REGIAO" queryTableFieldId="1" dataDxfId="18"/>
    <tableColumn id="2" xr3:uid="{E3A11F66-4B3C-4D7F-93FD-A56ABD6F6A2A}" uniqueName="2" name="NO_UF" queryTableFieldId="2" dataDxfId="17"/>
    <tableColumn id="3" xr3:uid="{4DAF60E6-F5E9-4FFE-9CA3-A2EC320EF4FE}" uniqueName="3" name="SG_UF" queryTableFieldId="3" dataDxfId="16"/>
    <tableColumn id="4" xr3:uid="{70E0F162-6E61-42F2-AEBC-360C16DE5142}" uniqueName="4" name="CO_UF" queryTableFieldId="4"/>
    <tableColumn id="5" xr3:uid="{1809AE98-33ED-447E-8EBA-8912997B3D1E}" uniqueName="5" name="NO_MUNICIPIO" queryTableFieldId="5" dataDxfId="15"/>
    <tableColumn id="6" xr3:uid="{E34E5F45-9BD6-4996-8346-9D567184DC48}" uniqueName="6" name="CO_MUNICIPIO" queryTableFieldId="6"/>
    <tableColumn id="7" xr3:uid="{7F989E7D-B44D-4FC7-AC50-D8843A4818AE}" uniqueName="7" name="Dependencia.DEPENDENCIA" queryTableFieldId="7" dataDxfId="14"/>
    <tableColumn id="8" xr3:uid="{6A949F05-8D98-4A45-BE7D-5C195C5651E6}" uniqueName="8" name="NO_ENTIDADE" queryTableFieldId="8" dataDxfId="13"/>
    <tableColumn id="9" xr3:uid="{EDA4C245-3593-43B5-B7B3-F3D01098C0B3}" uniqueName="9" name="CO_ENTIDADE" queryTableFieldId="9"/>
    <tableColumn id="10" xr3:uid="{0952A9D6-86A1-4B6F-9098-82A1473D25BF}" uniqueName="10" name="TP_DEPENDENCIA" queryTableFieldId="10"/>
    <tableColumn id="11" xr3:uid="{767E6F08-4254-4E0A-95FB-7FCAAEDB2E0B}" uniqueName="11" name="TP_LOCALIZACAO" queryTableFieldId="11"/>
    <tableColumn id="12" xr3:uid="{B8A7FC13-6363-4BD5-81F8-50EAD97A6FAE}" uniqueName="12" name="TP_LOCALIZACAO_DIFERENCIADA" queryTableFieldId="12"/>
    <tableColumn id="13" xr3:uid="{E064E182-2640-48B8-A188-F76368DE6A93}" uniqueName="13" name="DS_ENDERECO" queryTableFieldId="13" dataDxfId="12"/>
    <tableColumn id="14" xr3:uid="{0585605F-07EE-457D-8CAB-EB48B18E63C4}" uniqueName="14" name="NU_ENDERECO" queryTableFieldId="14" dataDxfId="11"/>
    <tableColumn id="15" xr3:uid="{3B7CF8A2-5C13-4E11-AD58-4ABAA4182515}" uniqueName="15" name="DS_COMPLEMENTO" queryTableFieldId="15" dataDxfId="10"/>
    <tableColumn id="16" xr3:uid="{2B838CF2-1BE1-4457-9179-C4DD59D93651}" uniqueName="16" name="NO_BAIRRO" queryTableFieldId="16" dataDxfId="9"/>
    <tableColumn id="17" xr3:uid="{DDD7B47E-EEAB-46B7-9E90-2707289DA59E}" uniqueName="17" name="CO_CEP" queryTableFieldId="17"/>
    <tableColumn id="18" xr3:uid="{41EF749A-1F61-4C79-8A41-38F2A4EF3FD1}" uniqueName="18" name="TP_SITUACAO_FUNCIONAMENTO" queryTableFieldId="18"/>
    <tableColumn id="19" xr3:uid="{05F413AF-92F0-4EEC-8799-BA4A4E36E33F}" uniqueName="19" name="IN_AGUA_POTAVEL" queryTableFieldId="19"/>
    <tableColumn id="20" xr3:uid="{1DB01C54-F18C-4F89-9F55-1818D09ABB42}" uniqueName="20" name="IN_AGUA_REDE_PUBLICA" queryTableFieldId="20"/>
    <tableColumn id="21" xr3:uid="{0EFA8D40-8B35-4252-A860-DAA66530170A}" uniqueName="21" name="IN_AGUA_POCO_ARTESIANO" queryTableFieldId="21"/>
    <tableColumn id="22" xr3:uid="{7A383FD9-9EB5-4E84-8964-F8B9C11FFDF6}" uniqueName="22" name="IN_AGUA_CACIMBA" queryTableFieldId="22"/>
    <tableColumn id="23" xr3:uid="{59493458-2F47-419B-8657-B11069C16439}" uniqueName="23" name="IN_AGUA_FONTE_RIO" queryTableFieldId="23"/>
    <tableColumn id="24" xr3:uid="{9061DE7F-D6D5-4472-8450-96020CE5D7DE}" uniqueName="24" name="IN_AGUA_INEXISTENTE" queryTableFieldId="24"/>
    <tableColumn id="25" xr3:uid="{DEA8F8C9-30CE-4C1C-A494-DA426A19AE25}" uniqueName="25" name="IN_AGUA_CARRO_PIPA" queryTableFieldId="25"/>
    <tableColumn id="26" xr3:uid="{A981FE9E-EEAD-4B89-83C7-B4345146064A}" uniqueName="26" name="IN_ENERGIA_REDE_PUBLICA" queryTableFieldId="26"/>
    <tableColumn id="27" xr3:uid="{6896D56D-AD3A-4F4A-A095-AF365E8155C2}" uniqueName="27" name="IN_ENERGIA_GERADOR_FOSSIL" queryTableFieldId="27"/>
    <tableColumn id="28" xr3:uid="{68372374-9CCD-472A-B37F-80C8671C9E27}" uniqueName="28" name="IN_ENERGIA_RENOVAVEL" queryTableFieldId="28"/>
    <tableColumn id="29" xr3:uid="{7901AF55-33C2-478D-AC79-32A9B42C2C29}" uniqueName="29" name="IN_ENERGIA_INEXISTENTE" queryTableFieldId="29"/>
    <tableColumn id="30" xr3:uid="{50741B46-03C5-40D3-B1BC-9A6BABB6C813}" uniqueName="30" name="IN_ESGOTO_REDE_PUBLICA" queryTableFieldId="30"/>
    <tableColumn id="31" xr3:uid="{4DB051B2-4B1A-47B3-8A85-7697B3360587}" uniqueName="31" name="IN_ESGOTO_FOSSA_SEPTICA" queryTableFieldId="31"/>
    <tableColumn id="32" xr3:uid="{6FA57F5F-AD99-4AA6-8FFE-63EE2B5139CB}" uniqueName="32" name="IN_ESGOTO_FOSSA_COMUM" queryTableFieldId="32"/>
    <tableColumn id="33" xr3:uid="{FABC903B-CBE6-4791-8A8F-D7EBCC2A87C7}" uniqueName="33" name="IN_ESGOTO_FOSSA" queryTableFieldId="33"/>
    <tableColumn id="34" xr3:uid="{BE025343-A0CD-428A-815D-73E769C3DC49}" uniqueName="34" name="IN_ESGOTO_INEXISTENTE" queryTableFieldId="34"/>
    <tableColumn id="35" xr3:uid="{A042F73E-33B1-4C66-8821-DFB426DB881F}" uniqueName="35" name="IN_LIXO_SERVICO_COLETA" queryTableFieldId="35"/>
    <tableColumn id="36" xr3:uid="{A43A938C-3F62-439A-9B1E-15548A5DBF1E}" uniqueName="36" name="IN_LIXO_QUEIMA" queryTableFieldId="36"/>
    <tableColumn id="37" xr3:uid="{03E5474A-5D3D-4EE6-921C-A31A6FEEB98B}" uniqueName="37" name="IN_LIXO_ENTERRA" queryTableFieldId="37"/>
    <tableColumn id="38" xr3:uid="{68CC276F-B8A4-4806-B422-2EDA342EEA00}" uniqueName="38" name="IN_LIXO_DESTINO_FINAL_PUBLICO" queryTableFieldId="38"/>
    <tableColumn id="39" xr3:uid="{1A8D3940-5C43-4B6B-B287-01137CF09A67}" uniqueName="39" name="IN_LIXO_DESCARTA_OUTRA_AREA" queryTableFieldId="39"/>
    <tableColumn id="40" xr3:uid="{29B0C6F0-77AF-4B9B-A528-DBA4BF93C709}" uniqueName="40" name="QT_MAT_BAS" queryTableFieldId="40"/>
    <tableColumn id="41" xr3:uid="{4E7954D5-C257-4AB7-A1E3-D7D38753EB6E}" uniqueName="41" name="QT_MAT_INF" queryTableFieldId="41"/>
    <tableColumn id="42" xr3:uid="{31AAB143-E8B4-41C3-B34D-ED21C66CD1FD}" uniqueName="42" name="QT_MAT_FUND" queryTableFieldId="42"/>
    <tableColumn id="43" xr3:uid="{93CF3852-7CC0-4769-9EFF-CBC9DE1854AD}" uniqueName="43" name="QT_MAT_MED" queryTableFieldId="43"/>
    <tableColumn id="44" xr3:uid="{87C4CC4A-9A69-4B54-868E-5D59FCFAB739}" uniqueName="44" name="QT_MAT_PROF" queryTableFieldId="44"/>
    <tableColumn id="45" xr3:uid="{D0470CF2-AC0E-48C8-A912-D120076D281F}" uniqueName="45" name="QT_MAT_EJA" queryTableFieldId="45"/>
    <tableColumn id="46" xr3:uid="{40E38E7C-CE49-421F-9692-A6AE24B37C11}" uniqueName="46" name="QT_MAT_ESP" queryTableFieldId="46"/>
    <tableColumn id="47" xr3:uid="{07A8F522-6924-460A-991F-E16D8B74D96B}" uniqueName="47" name="QT_MAT_BAS_FEM" queryTableFieldId="47"/>
    <tableColumn id="48" xr3:uid="{9454909B-1119-4FD0-8558-8C2BA0CCA4A2}" uniqueName="48" name="QT_MAT_BAS_MASC" queryTableFieldId="48"/>
    <tableColumn id="49" xr3:uid="{C166C805-6862-4D56-8566-3D661D36ABFD}" uniqueName="49" name="QT_MAT_BAS_ND" queryTableFieldId="49"/>
    <tableColumn id="50" xr3:uid="{2165C9C6-DFBA-49D8-A259-35458F6E6CE4}" uniqueName="50" name="QT_MAT_BAS_BRANCA" queryTableFieldId="50"/>
    <tableColumn id="51" xr3:uid="{99A2221F-7B7B-47B2-B922-FD05519CAAF2}" uniqueName="51" name="QT_MAT_BAS_PRETA" queryTableFieldId="51"/>
    <tableColumn id="52" xr3:uid="{0B33FFE5-6A23-4CB9-8A27-2FEC656BE464}" uniqueName="52" name="QT_MAT_BAS_PARDA" queryTableFieldId="52"/>
    <tableColumn id="53" xr3:uid="{D25F9EA6-46B8-4091-9BBC-001AD2E3CE13}" uniqueName="53" name="QT_MAT_BAS_AMARELA" queryTableFieldId="53"/>
    <tableColumn id="54" xr3:uid="{216ABEA0-F087-44FB-8961-F68E9AC8A5E0}" uniqueName="54" name="QT_MAT_BAS_INDIGENA" queryTableFieldId="54"/>
    <tableColumn id="55" xr3:uid="{20E17ACF-18C7-4878-B167-9EC3F8E1628B}" uniqueName="55" name="QT_MAT_BAS_0_3" queryTableFieldId="55"/>
    <tableColumn id="56" xr3:uid="{CAF22338-8EF5-4C46-BA49-5535836C1F14}" uniqueName="56" name="QT_MAT_BAS_4_5" queryTableFieldId="56"/>
    <tableColumn id="57" xr3:uid="{5846B57B-4958-499C-8F6D-1A63EA682E9A}" uniqueName="57" name="QT_MAT_BAS_6_10" queryTableFieldId="57"/>
    <tableColumn id="58" xr3:uid="{F5280CF7-C23B-4513-B7D4-302542AF8BB3}" uniqueName="58" name="QT_MAT_BAS_11_14" queryTableFieldId="58"/>
    <tableColumn id="59" xr3:uid="{7BF3F6DB-FAEB-481D-80B8-2D909E5DEA35}" uniqueName="59" name="QT_MAT_BAS_15_17" queryTableFieldId="59"/>
    <tableColumn id="60" xr3:uid="{8F8D27DE-7672-45F1-9228-CC57BDF8618D}" uniqueName="60" name="QT_MAT_BAS_18_MAIS" queryTableFieldId="60"/>
    <tableColumn id="61" xr3:uid="{898C5277-C550-4007-82F2-C58186720A6B}" uniqueName="61" name="Localizacao.LOCALIZACAO" queryTableFieldId="61" dataDxfId="8"/>
    <tableColumn id="62" xr3:uid="{67BFE506-6216-4E2E-A3CA-AD23BA790C05}" uniqueName="62" name="LocDiferenciada.LOC_DIFERENCIADA" queryTableFieldId="62" dataDxfId="7"/>
    <tableColumn id="63" xr3:uid="{CBE8C9C8-7664-4FFF-A7E0-98EF6CFADC9A}" uniqueName="63" name="Situacao.SITUACAO" queryTableFieldId="63" dataDxfId="6"/>
    <tableColumn id="64" xr3:uid="{3DE27DDA-017C-467B-BE05-B8913074B790}" uniqueName="64" name="Tamanho_Escola" queryTableFieldId="64"/>
    <tableColumn id="65" xr3:uid="{F9447B7E-7BC9-48EF-960F-4F08A75DEDFA}" uniqueName="65" name="Infraestrutura_Agua" queryTableFieldId="65"/>
    <tableColumn id="66" xr3:uid="{A4ACBB3B-BEE4-479D-AE60-B545A70F894A}" uniqueName="66" name="Infraestrutura_Energia" queryTableFieldId="66"/>
    <tableColumn id="67" xr3:uid="{878292D1-D2B1-4110-B650-996CA0A8231B}" uniqueName="67" name="Infraestrutura_Esgoto" queryTableFieldId="67"/>
    <tableColumn id="68" xr3:uid="{92CA8A13-3CAF-4B07-ADA8-FC9C1CEF2D55}" uniqueName="68" name="Infraestrutura_Lixo" queryTableFieldId="6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F93E3F-E58F-4474-BC97-12ABB63E0FB2}" name="Filtro_Municipio" displayName="Filtro_Municipio" ref="A1:B2" tableType="queryTable" totalsRowShown="0">
  <autoFilter ref="A1:B2" xr:uid="{2DF93E3F-E58F-4474-BC97-12ABB63E0FB2}"/>
  <tableColumns count="2">
    <tableColumn id="1" xr3:uid="{95AA3676-D644-4A01-A3E1-67D562DE1446}" uniqueName="1" name="Sigla do Estado (UF)" queryTableFieldId="1" dataDxfId="4"/>
    <tableColumn id="2" xr3:uid="{ED012FA5-0DAD-4ABA-9EC2-A4414EB9356B}" uniqueName="2" name="Município 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EC5556-EB73-4820-BCBB-4BCF36A3FD32}" name="Tabela9" displayName="Tabela9" ref="B3:C4" totalsRowShown="0" headerRowDxfId="19">
  <autoFilter ref="B3:C4" xr:uid="{39EC5556-EB73-4820-BCBB-4BCF36A3FD32}"/>
  <tableColumns count="2">
    <tableColumn id="1" xr3:uid="{2ACC0FEE-38BF-4717-8CAD-95BBD8F5CB88}" name="Sigla do Estado (UF)"/>
    <tableColumn id="2" xr3:uid="{95DDC88B-5C18-407E-911E-A4139664B1E8}" name="Município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A622C-36BB-4D13-8726-099525E8E19E}" name="LocDiferenciada" displayName="LocDiferenciada" ref="A1:B6" tableType="queryTable" totalsRowShown="0">
  <autoFilter ref="A1:B6" xr:uid="{BA3A622C-36BB-4D13-8726-099525E8E19E}"/>
  <tableColumns count="2">
    <tableColumn id="1" xr3:uid="{FA54F243-D5D8-4BDF-B25F-351173C4DB96}" uniqueName="1" name="TP_LOCALIZACAO_DIFERENCIADA" queryTableFieldId="1"/>
    <tableColumn id="2" xr3:uid="{E917EFCC-FB36-4314-966C-1EC2938B0AED}" uniqueName="2" name="LOC_DIFERENCIADA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BC1DE-A47D-45CC-8ECA-62AADEA73E15}" name="Localizacao" displayName="Localizacao" ref="A1:B3" tableType="queryTable" totalsRowShown="0">
  <autoFilter ref="A1:B3" xr:uid="{06BBC1DE-A47D-45CC-8ECA-62AADEA73E15}"/>
  <tableColumns count="2">
    <tableColumn id="1" xr3:uid="{55903EBD-27AC-411E-B3E3-79D244D9BB6D}" uniqueName="1" name="TP_LOCALIZACAO" queryTableFieldId="1"/>
    <tableColumn id="2" xr3:uid="{AE19D908-E45B-4BDD-B4C2-54D36BD92D5A}" uniqueName="2" name="LOCALIZACAO" queryTableFieldId="2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6D6D4-2A04-463F-9B96-E38862183657}" name="Dependencia" displayName="Dependencia" ref="A1:B5" tableType="queryTable" totalsRowShown="0">
  <autoFilter ref="A1:B5" xr:uid="{A846D6D4-2A04-463F-9B96-E38862183657}"/>
  <tableColumns count="2">
    <tableColumn id="1" xr3:uid="{33E3F3AC-BAE5-45CC-8318-9925A51F9FFE}" uniqueName="1" name="TP_DEPENDENCIA" queryTableFieldId="1"/>
    <tableColumn id="2" xr3:uid="{D3FA5F6E-8DB6-4A90-9FB5-30F3ACA7FCBB}" uniqueName="2" name="DEPENDENCIA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8F6F-4A4F-4404-9798-BD87786D0A50}">
  <dimension ref="A1:B5"/>
  <sheetViews>
    <sheetView workbookViewId="0"/>
  </sheetViews>
  <sheetFormatPr defaultRowHeight="14.4" x14ac:dyDescent="0.3"/>
  <cols>
    <col min="1" max="1" width="30.88671875" bestFit="1" customWidth="1"/>
    <col min="2" max="2" width="11.777343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>
        <v>1</v>
      </c>
      <c r="B2" s="1" t="s">
        <v>20</v>
      </c>
    </row>
    <row r="3" spans="1:2" x14ac:dyDescent="0.3">
      <c r="A3">
        <v>2</v>
      </c>
      <c r="B3" s="1" t="s">
        <v>21</v>
      </c>
    </row>
    <row r="4" spans="1:2" x14ac:dyDescent="0.3">
      <c r="A4">
        <v>3</v>
      </c>
      <c r="B4" s="1" t="s">
        <v>21</v>
      </c>
    </row>
    <row r="5" spans="1:2" x14ac:dyDescent="0.3">
      <c r="A5">
        <v>4</v>
      </c>
      <c r="B5" s="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E759-5DCD-40ED-B2B4-6360135C38BA}">
  <dimension ref="A1"/>
  <sheetViews>
    <sheetView tabSelected="1" zoomScale="65" zoomScaleNormal="65" workbookViewId="0">
      <selection activeCell="N40" sqref="N4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759A-AA6F-4712-9489-3DE16C8FD3BC}">
  <dimension ref="A3:B48"/>
  <sheetViews>
    <sheetView workbookViewId="0">
      <selection activeCell="A45" sqref="A45:B47"/>
    </sheetView>
  </sheetViews>
  <sheetFormatPr defaultRowHeight="14.4" x14ac:dyDescent="0.3"/>
  <cols>
    <col min="1" max="1" width="16.77734375" bestFit="1" customWidth="1"/>
    <col min="2" max="2" width="28.109375" bestFit="1" customWidth="1"/>
    <col min="3" max="3" width="35.109375" bestFit="1" customWidth="1"/>
    <col min="4" max="4" width="12" customWidth="1"/>
  </cols>
  <sheetData>
    <row r="3" spans="1:2" x14ac:dyDescent="0.3">
      <c r="A3" s="3" t="s">
        <v>199</v>
      </c>
      <c r="B3" t="s">
        <v>202</v>
      </c>
    </row>
    <row r="4" spans="1:2" x14ac:dyDescent="0.3">
      <c r="A4" s="4" t="s">
        <v>111</v>
      </c>
      <c r="B4" s="1">
        <v>2</v>
      </c>
    </row>
    <row r="5" spans="1:2" x14ac:dyDescent="0.3">
      <c r="A5" s="4" t="s">
        <v>125</v>
      </c>
      <c r="B5" s="1">
        <v>7</v>
      </c>
    </row>
    <row r="6" spans="1:2" x14ac:dyDescent="0.3">
      <c r="A6" s="4" t="s">
        <v>94</v>
      </c>
      <c r="B6" s="1">
        <v>5</v>
      </c>
    </row>
    <row r="7" spans="1:2" x14ac:dyDescent="0.3">
      <c r="A7" s="4" t="s">
        <v>104</v>
      </c>
      <c r="B7" s="1">
        <v>13</v>
      </c>
    </row>
    <row r="8" spans="1:2" x14ac:dyDescent="0.3">
      <c r="A8" s="4" t="s">
        <v>200</v>
      </c>
      <c r="B8" s="1"/>
    </row>
    <row r="9" spans="1:2" x14ac:dyDescent="0.3">
      <c r="A9" s="4" t="s">
        <v>201</v>
      </c>
      <c r="B9" s="1">
        <v>27</v>
      </c>
    </row>
    <row r="15" spans="1:2" x14ac:dyDescent="0.3">
      <c r="A15" s="3" t="s">
        <v>199</v>
      </c>
      <c r="B15" t="s">
        <v>203</v>
      </c>
    </row>
    <row r="16" spans="1:2" x14ac:dyDescent="0.3">
      <c r="A16" s="4" t="s">
        <v>105</v>
      </c>
      <c r="B16" s="1">
        <v>8</v>
      </c>
    </row>
    <row r="17" spans="1:2" x14ac:dyDescent="0.3">
      <c r="A17" s="4" t="s">
        <v>95</v>
      </c>
      <c r="B17" s="1">
        <v>15</v>
      </c>
    </row>
    <row r="18" spans="1:2" x14ac:dyDescent="0.3">
      <c r="A18" s="4" t="s">
        <v>151</v>
      </c>
      <c r="B18" s="1">
        <v>5</v>
      </c>
    </row>
    <row r="19" spans="1:2" x14ac:dyDescent="0.3">
      <c r="A19" s="4" t="s">
        <v>201</v>
      </c>
      <c r="B19" s="1">
        <v>28</v>
      </c>
    </row>
    <row r="24" spans="1:2" x14ac:dyDescent="0.3">
      <c r="A24" s="3" t="s">
        <v>199</v>
      </c>
      <c r="B24" t="s">
        <v>204</v>
      </c>
    </row>
    <row r="25" spans="1:2" x14ac:dyDescent="0.3">
      <c r="A25" s="4" t="s">
        <v>105</v>
      </c>
      <c r="B25" s="1">
        <v>22</v>
      </c>
    </row>
    <row r="26" spans="1:2" x14ac:dyDescent="0.3">
      <c r="A26" s="4" t="s">
        <v>96</v>
      </c>
      <c r="B26" s="1">
        <v>4</v>
      </c>
    </row>
    <row r="27" spans="1:2" x14ac:dyDescent="0.3">
      <c r="A27" s="4" t="s">
        <v>163</v>
      </c>
      <c r="B27" s="1">
        <v>2</v>
      </c>
    </row>
    <row r="28" spans="1:2" x14ac:dyDescent="0.3">
      <c r="A28" s="4" t="s">
        <v>201</v>
      </c>
      <c r="B28" s="1">
        <v>28</v>
      </c>
    </row>
    <row r="30" spans="1:2" x14ac:dyDescent="0.3">
      <c r="A30" s="3" t="s">
        <v>199</v>
      </c>
      <c r="B30" t="s">
        <v>205</v>
      </c>
    </row>
    <row r="31" spans="1:2" x14ac:dyDescent="0.3">
      <c r="A31" s="4" t="s">
        <v>97</v>
      </c>
      <c r="B31" s="1">
        <v>28</v>
      </c>
    </row>
    <row r="32" spans="1:2" x14ac:dyDescent="0.3">
      <c r="A32" s="4" t="s">
        <v>200</v>
      </c>
      <c r="B32" s="1"/>
    </row>
    <row r="33" spans="1:2" x14ac:dyDescent="0.3">
      <c r="A33" s="4" t="s">
        <v>201</v>
      </c>
      <c r="B33" s="1">
        <v>28</v>
      </c>
    </row>
    <row r="37" spans="1:2" x14ac:dyDescent="0.3">
      <c r="A37" s="3" t="s">
        <v>199</v>
      </c>
      <c r="B37" t="s">
        <v>206</v>
      </c>
    </row>
    <row r="38" spans="1:2" x14ac:dyDescent="0.3">
      <c r="A38" s="4" t="s">
        <v>106</v>
      </c>
      <c r="B38" s="1">
        <v>14</v>
      </c>
    </row>
    <row r="39" spans="1:2" x14ac:dyDescent="0.3">
      <c r="A39" s="4" t="s">
        <v>98</v>
      </c>
      <c r="B39" s="1">
        <v>7</v>
      </c>
    </row>
    <row r="40" spans="1:2" x14ac:dyDescent="0.3">
      <c r="A40" s="4" t="s">
        <v>116</v>
      </c>
      <c r="B40" s="1">
        <v>7</v>
      </c>
    </row>
    <row r="41" spans="1:2" x14ac:dyDescent="0.3">
      <c r="A41" s="4" t="s">
        <v>201</v>
      </c>
      <c r="B41" s="1">
        <v>28</v>
      </c>
    </row>
    <row r="45" spans="1:2" x14ac:dyDescent="0.3">
      <c r="A45" s="3" t="s">
        <v>199</v>
      </c>
      <c r="B45" t="s">
        <v>207</v>
      </c>
    </row>
    <row r="46" spans="1:2" x14ac:dyDescent="0.3">
      <c r="A46" s="4" t="s">
        <v>9</v>
      </c>
      <c r="B46" s="1">
        <v>12</v>
      </c>
    </row>
    <row r="47" spans="1:2" x14ac:dyDescent="0.3">
      <c r="A47" s="4" t="s">
        <v>10</v>
      </c>
      <c r="B47" s="1">
        <v>16</v>
      </c>
    </row>
    <row r="48" spans="1:2" x14ac:dyDescent="0.3">
      <c r="A48" s="4" t="s">
        <v>201</v>
      </c>
      <c r="B48" s="1">
        <v>28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49FB-F436-4892-8E7C-803415D2A0D5}">
  <dimension ref="A1:BP33"/>
  <sheetViews>
    <sheetView workbookViewId="0">
      <selection sqref="A1:BP468"/>
    </sheetView>
  </sheetViews>
  <sheetFormatPr defaultRowHeight="14.4" x14ac:dyDescent="0.3"/>
  <cols>
    <col min="1" max="1" width="13.109375" bestFit="1" customWidth="1"/>
    <col min="2" max="2" width="8.88671875" bestFit="1" customWidth="1"/>
    <col min="3" max="3" width="8.6640625" bestFit="1" customWidth="1"/>
    <col min="4" max="4" width="8.77734375" bestFit="1" customWidth="1"/>
    <col min="5" max="5" width="17.88671875" bestFit="1" customWidth="1"/>
    <col min="6" max="6" width="16" bestFit="1" customWidth="1"/>
    <col min="7" max="7" width="27.21875" bestFit="1" customWidth="1"/>
    <col min="8" max="8" width="48" bestFit="1" customWidth="1"/>
    <col min="9" max="9" width="14.88671875" bestFit="1" customWidth="1"/>
    <col min="10" max="10" width="18.21875" bestFit="1" customWidth="1"/>
    <col min="11" max="11" width="17.88671875" bestFit="1" customWidth="1"/>
    <col min="12" max="12" width="31.44140625" bestFit="1" customWidth="1"/>
    <col min="13" max="13" width="42.77734375" bestFit="1" customWidth="1"/>
    <col min="14" max="14" width="15.88671875" bestFit="1" customWidth="1"/>
    <col min="15" max="15" width="19.5546875" bestFit="1" customWidth="1"/>
    <col min="16" max="16" width="16.44140625" bestFit="1" customWidth="1"/>
    <col min="17" max="17" width="9.88671875" bestFit="1" customWidth="1"/>
    <col min="18" max="18" width="30.88671875" bestFit="1" customWidth="1"/>
    <col min="19" max="19" width="19" bestFit="1" customWidth="1"/>
    <col min="20" max="20" width="24.109375" bestFit="1" customWidth="1"/>
    <col min="21" max="21" width="27.109375" bestFit="1" customWidth="1"/>
    <col min="22" max="22" width="19.44140625" bestFit="1" customWidth="1"/>
    <col min="23" max="23" width="21" bestFit="1" customWidth="1"/>
    <col min="24" max="24" width="22.44140625" bestFit="1" customWidth="1"/>
    <col min="25" max="25" width="22.21875" bestFit="1" customWidth="1"/>
    <col min="26" max="26" width="26.77734375" bestFit="1" customWidth="1"/>
    <col min="27" max="27" width="29.5546875" bestFit="1" customWidth="1"/>
    <col min="28" max="28" width="24.44140625" bestFit="1" customWidth="1"/>
    <col min="29" max="29" width="25.21875" bestFit="1" customWidth="1"/>
    <col min="30" max="30" width="26.33203125" bestFit="1" customWidth="1"/>
    <col min="31" max="31" width="27.44140625" bestFit="1" customWidth="1"/>
    <col min="32" max="32" width="27.109375" bestFit="1" customWidth="1"/>
    <col min="33" max="33" width="19.5546875" bestFit="1" customWidth="1"/>
    <col min="34" max="34" width="24.77734375" bestFit="1" customWidth="1"/>
    <col min="35" max="35" width="25.5546875" bestFit="1" customWidth="1"/>
    <col min="36" max="36" width="17.33203125" bestFit="1" customWidth="1"/>
    <col min="37" max="37" width="18.21875" bestFit="1" customWidth="1"/>
    <col min="38" max="38" width="32.44140625" bestFit="1" customWidth="1"/>
    <col min="39" max="39" width="31.33203125" bestFit="1" customWidth="1"/>
    <col min="40" max="40" width="13.77734375" bestFit="1" customWidth="1"/>
    <col min="41" max="41" width="13.33203125" bestFit="1" customWidth="1"/>
    <col min="42" max="42" width="15.33203125" bestFit="1" customWidth="1"/>
    <col min="43" max="43" width="14.109375" bestFit="1" customWidth="1"/>
    <col min="44" max="44" width="15" bestFit="1" customWidth="1"/>
    <col min="45" max="45" width="13.21875" bestFit="1" customWidth="1"/>
    <col min="46" max="46" width="13.6640625" bestFit="1" customWidth="1"/>
    <col min="47" max="47" width="18.109375" bestFit="1" customWidth="1"/>
    <col min="48" max="48" width="19.6640625" bestFit="1" customWidth="1"/>
    <col min="49" max="49" width="17.21875" bestFit="1" customWidth="1"/>
    <col min="50" max="50" width="21.77734375" bestFit="1" customWidth="1"/>
    <col min="51" max="51" width="20" bestFit="1" customWidth="1"/>
    <col min="52" max="52" width="20.44140625" bestFit="1" customWidth="1"/>
    <col min="53" max="53" width="22.5546875" bestFit="1" customWidth="1"/>
    <col min="54" max="54" width="23.21875" bestFit="1" customWidth="1"/>
    <col min="55" max="56" width="17.44140625" bestFit="1" customWidth="1"/>
    <col min="57" max="57" width="18.44140625" bestFit="1" customWidth="1"/>
    <col min="58" max="59" width="19.5546875" bestFit="1" customWidth="1"/>
    <col min="60" max="60" width="21.77734375" bestFit="1" customWidth="1"/>
    <col min="61" max="61" width="25.77734375" bestFit="1" customWidth="1"/>
    <col min="62" max="62" width="34.5546875" bestFit="1" customWidth="1"/>
    <col min="63" max="63" width="19.88671875" bestFit="1" customWidth="1"/>
    <col min="64" max="64" width="17.109375" bestFit="1" customWidth="1"/>
    <col min="65" max="65" width="19.5546875" bestFit="1" customWidth="1"/>
    <col min="66" max="66" width="21.6640625" bestFit="1" customWidth="1"/>
    <col min="67" max="67" width="21" bestFit="1" customWidth="1"/>
    <col min="68" max="68" width="18.77734375" bestFit="1" customWidth="1"/>
    <col min="69" max="69" width="11.77734375" bestFit="1" customWidth="1"/>
  </cols>
  <sheetData>
    <row r="1" spans="1:6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1</v>
      </c>
      <c r="K1" t="s">
        <v>7</v>
      </c>
      <c r="L1" t="s">
        <v>11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18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</row>
    <row r="2" spans="1:68" x14ac:dyDescent="0.3">
      <c r="A2" s="1" t="s">
        <v>86</v>
      </c>
      <c r="B2" s="1" t="s">
        <v>87</v>
      </c>
      <c r="C2" s="1" t="s">
        <v>88</v>
      </c>
      <c r="D2">
        <v>11</v>
      </c>
      <c r="E2" s="1" t="s">
        <v>89</v>
      </c>
      <c r="F2">
        <v>1100015</v>
      </c>
      <c r="G2" s="1" t="s">
        <v>4</v>
      </c>
      <c r="H2" s="1" t="s">
        <v>90</v>
      </c>
      <c r="I2">
        <v>11022558</v>
      </c>
      <c r="J2">
        <v>2</v>
      </c>
      <c r="K2">
        <v>2</v>
      </c>
      <c r="L2">
        <v>2</v>
      </c>
      <c r="M2" s="1" t="s">
        <v>91</v>
      </c>
      <c r="N2" s="1"/>
      <c r="O2" s="1" t="s">
        <v>92</v>
      </c>
      <c r="P2" s="1" t="s">
        <v>93</v>
      </c>
      <c r="Q2">
        <v>76954000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1</v>
      </c>
      <c r="AK2">
        <v>1</v>
      </c>
      <c r="AL2">
        <v>0</v>
      </c>
      <c r="AM2">
        <v>0</v>
      </c>
      <c r="AN2">
        <v>4</v>
      </c>
      <c r="AO2">
        <v>0</v>
      </c>
      <c r="AP2">
        <v>4</v>
      </c>
      <c r="AQ2">
        <v>0</v>
      </c>
      <c r="AR2">
        <v>0</v>
      </c>
      <c r="AS2">
        <v>0</v>
      </c>
      <c r="AT2">
        <v>0</v>
      </c>
      <c r="AU2">
        <v>2</v>
      </c>
      <c r="AV2">
        <v>2</v>
      </c>
      <c r="AW2">
        <v>0</v>
      </c>
      <c r="AX2">
        <v>0</v>
      </c>
      <c r="AY2">
        <v>0</v>
      </c>
      <c r="AZ2">
        <v>0</v>
      </c>
      <c r="BA2">
        <v>0</v>
      </c>
      <c r="BB2">
        <v>4</v>
      </c>
      <c r="BC2">
        <v>0</v>
      </c>
      <c r="BD2">
        <v>0</v>
      </c>
      <c r="BE2">
        <v>3</v>
      </c>
      <c r="BF2">
        <v>1</v>
      </c>
      <c r="BG2">
        <v>0</v>
      </c>
      <c r="BH2">
        <v>0</v>
      </c>
      <c r="BI2" s="1" t="s">
        <v>10</v>
      </c>
      <c r="BJ2" s="1" t="s">
        <v>15</v>
      </c>
      <c r="BK2" s="1" t="s">
        <v>20</v>
      </c>
      <c r="BL2" t="s">
        <v>94</v>
      </c>
      <c r="BM2" t="s">
        <v>95</v>
      </c>
      <c r="BN2" t="s">
        <v>96</v>
      </c>
      <c r="BO2" t="s">
        <v>97</v>
      </c>
      <c r="BP2" t="s">
        <v>98</v>
      </c>
    </row>
    <row r="3" spans="1:68" x14ac:dyDescent="0.3">
      <c r="A3" s="1" t="s">
        <v>86</v>
      </c>
      <c r="B3" s="1" t="s">
        <v>87</v>
      </c>
      <c r="C3" s="1" t="s">
        <v>88</v>
      </c>
      <c r="D3">
        <v>11</v>
      </c>
      <c r="E3" s="1" t="s">
        <v>89</v>
      </c>
      <c r="F3">
        <v>1100015</v>
      </c>
      <c r="G3" s="1" t="s">
        <v>4</v>
      </c>
      <c r="H3" s="1" t="s">
        <v>99</v>
      </c>
      <c r="I3">
        <v>11024275</v>
      </c>
      <c r="J3">
        <v>2</v>
      </c>
      <c r="K3">
        <v>1</v>
      </c>
      <c r="L3">
        <v>0</v>
      </c>
      <c r="M3" s="1" t="s">
        <v>100</v>
      </c>
      <c r="N3" s="1" t="s">
        <v>101</v>
      </c>
      <c r="O3" s="1" t="s">
        <v>102</v>
      </c>
      <c r="P3" s="1" t="s">
        <v>103</v>
      </c>
      <c r="Q3">
        <v>76954000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131</v>
      </c>
      <c r="AO3">
        <v>0</v>
      </c>
      <c r="AP3">
        <v>0</v>
      </c>
      <c r="AQ3">
        <v>0</v>
      </c>
      <c r="AR3">
        <v>0</v>
      </c>
      <c r="AS3">
        <v>131</v>
      </c>
      <c r="AT3">
        <v>2</v>
      </c>
      <c r="AU3">
        <v>84</v>
      </c>
      <c r="AV3">
        <v>47</v>
      </c>
      <c r="AW3">
        <v>0</v>
      </c>
      <c r="AX3">
        <v>33</v>
      </c>
      <c r="AY3">
        <v>6</v>
      </c>
      <c r="AZ3">
        <v>88</v>
      </c>
      <c r="BA3">
        <v>0</v>
      </c>
      <c r="BB3">
        <v>4</v>
      </c>
      <c r="BC3">
        <v>0</v>
      </c>
      <c r="BD3">
        <v>0</v>
      </c>
      <c r="BE3">
        <v>0</v>
      </c>
      <c r="BF3">
        <v>0</v>
      </c>
      <c r="BG3">
        <v>13</v>
      </c>
      <c r="BH3">
        <v>118</v>
      </c>
      <c r="BI3" s="1" t="s">
        <v>9</v>
      </c>
      <c r="BJ3" s="1" t="s">
        <v>13</v>
      </c>
      <c r="BK3" s="1" t="s">
        <v>20</v>
      </c>
      <c r="BL3" t="s">
        <v>104</v>
      </c>
      <c r="BM3" t="s">
        <v>105</v>
      </c>
      <c r="BN3" t="s">
        <v>105</v>
      </c>
      <c r="BO3" t="s">
        <v>97</v>
      </c>
      <c r="BP3" t="s">
        <v>106</v>
      </c>
    </row>
    <row r="4" spans="1:68" x14ac:dyDescent="0.3">
      <c r="A4" s="1" t="s">
        <v>86</v>
      </c>
      <c r="B4" s="1" t="s">
        <v>87</v>
      </c>
      <c r="C4" s="1" t="s">
        <v>88</v>
      </c>
      <c r="D4">
        <v>11</v>
      </c>
      <c r="E4" s="1" t="s">
        <v>89</v>
      </c>
      <c r="F4">
        <v>1100015</v>
      </c>
      <c r="G4" s="1" t="s">
        <v>4</v>
      </c>
      <c r="H4" s="1" t="s">
        <v>107</v>
      </c>
      <c r="I4">
        <v>11024682</v>
      </c>
      <c r="J4">
        <v>2</v>
      </c>
      <c r="K4">
        <v>1</v>
      </c>
      <c r="L4">
        <v>0</v>
      </c>
      <c r="M4" s="1" t="s">
        <v>108</v>
      </c>
      <c r="N4" s="1" t="s">
        <v>109</v>
      </c>
      <c r="O4" s="1"/>
      <c r="P4" s="1" t="s">
        <v>110</v>
      </c>
      <c r="Q4">
        <v>76954000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598</v>
      </c>
      <c r="AO4">
        <v>0</v>
      </c>
      <c r="AP4">
        <v>237</v>
      </c>
      <c r="AQ4">
        <v>361</v>
      </c>
      <c r="AR4">
        <v>0</v>
      </c>
      <c r="AS4">
        <v>0</v>
      </c>
      <c r="AT4">
        <v>27</v>
      </c>
      <c r="AU4">
        <v>281</v>
      </c>
      <c r="AV4">
        <v>317</v>
      </c>
      <c r="AW4">
        <v>4</v>
      </c>
      <c r="AX4">
        <v>191</v>
      </c>
      <c r="AY4">
        <v>21</v>
      </c>
      <c r="AZ4">
        <v>371</v>
      </c>
      <c r="BA4">
        <v>1</v>
      </c>
      <c r="BB4">
        <v>10</v>
      </c>
      <c r="BC4">
        <v>0</v>
      </c>
      <c r="BD4">
        <v>0</v>
      </c>
      <c r="BE4">
        <v>24</v>
      </c>
      <c r="BF4">
        <v>217</v>
      </c>
      <c r="BG4">
        <v>310</v>
      </c>
      <c r="BH4">
        <v>47</v>
      </c>
      <c r="BI4" s="1" t="s">
        <v>9</v>
      </c>
      <c r="BJ4" s="1" t="s">
        <v>13</v>
      </c>
      <c r="BK4" s="1" t="s">
        <v>20</v>
      </c>
      <c r="BL4" t="s">
        <v>111</v>
      </c>
      <c r="BM4" t="s">
        <v>105</v>
      </c>
      <c r="BN4" t="s">
        <v>105</v>
      </c>
      <c r="BO4" t="s">
        <v>97</v>
      </c>
      <c r="BP4" t="s">
        <v>106</v>
      </c>
    </row>
    <row r="5" spans="1:68" x14ac:dyDescent="0.3">
      <c r="A5" s="1" t="s">
        <v>86</v>
      </c>
      <c r="B5" s="1" t="s">
        <v>87</v>
      </c>
      <c r="C5" s="1" t="s">
        <v>88</v>
      </c>
      <c r="D5">
        <v>11</v>
      </c>
      <c r="E5" s="1" t="s">
        <v>89</v>
      </c>
      <c r="F5">
        <v>1100015</v>
      </c>
      <c r="G5" s="1" t="s">
        <v>5</v>
      </c>
      <c r="H5" s="1" t="s">
        <v>112</v>
      </c>
      <c r="I5">
        <v>11024666</v>
      </c>
      <c r="J5">
        <v>3</v>
      </c>
      <c r="K5">
        <v>2</v>
      </c>
      <c r="L5">
        <v>0</v>
      </c>
      <c r="M5" s="1" t="s">
        <v>113</v>
      </c>
      <c r="N5" s="1"/>
      <c r="O5" s="1" t="s">
        <v>114</v>
      </c>
      <c r="P5" s="1" t="s">
        <v>115</v>
      </c>
      <c r="Q5">
        <v>76954000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169</v>
      </c>
      <c r="AO5">
        <v>32</v>
      </c>
      <c r="AP5">
        <v>137</v>
      </c>
      <c r="AQ5">
        <v>0</v>
      </c>
      <c r="AR5">
        <v>0</v>
      </c>
      <c r="AS5">
        <v>0</v>
      </c>
      <c r="AT5">
        <v>8</v>
      </c>
      <c r="AU5">
        <v>76</v>
      </c>
      <c r="AV5">
        <v>93</v>
      </c>
      <c r="AW5">
        <v>0</v>
      </c>
      <c r="AX5">
        <v>73</v>
      </c>
      <c r="AY5">
        <v>3</v>
      </c>
      <c r="AZ5">
        <v>89</v>
      </c>
      <c r="BA5">
        <v>0</v>
      </c>
      <c r="BB5">
        <v>4</v>
      </c>
      <c r="BC5">
        <v>0</v>
      </c>
      <c r="BD5">
        <v>29</v>
      </c>
      <c r="BE5">
        <v>73</v>
      </c>
      <c r="BF5">
        <v>63</v>
      </c>
      <c r="BG5">
        <v>4</v>
      </c>
      <c r="BH5">
        <v>0</v>
      </c>
      <c r="BI5" s="1" t="s">
        <v>10</v>
      </c>
      <c r="BJ5" s="1" t="s">
        <v>13</v>
      </c>
      <c r="BK5" s="1" t="s">
        <v>20</v>
      </c>
      <c r="BL5" t="s">
        <v>104</v>
      </c>
      <c r="BM5" t="s">
        <v>95</v>
      </c>
      <c r="BN5" t="s">
        <v>105</v>
      </c>
      <c r="BO5" t="s">
        <v>97</v>
      </c>
      <c r="BP5" t="s">
        <v>116</v>
      </c>
    </row>
    <row r="6" spans="1:68" x14ac:dyDescent="0.3">
      <c r="A6" s="1" t="s">
        <v>86</v>
      </c>
      <c r="B6" s="1" t="s">
        <v>87</v>
      </c>
      <c r="C6" s="1" t="s">
        <v>88</v>
      </c>
      <c r="D6">
        <v>11</v>
      </c>
      <c r="E6" s="1" t="s">
        <v>89</v>
      </c>
      <c r="F6">
        <v>1100015</v>
      </c>
      <c r="G6" s="1" t="s">
        <v>5</v>
      </c>
      <c r="H6" s="1" t="s">
        <v>117</v>
      </c>
      <c r="I6">
        <v>11024917</v>
      </c>
      <c r="J6">
        <v>3</v>
      </c>
      <c r="K6">
        <v>2</v>
      </c>
      <c r="L6">
        <v>0</v>
      </c>
      <c r="M6" s="1" t="s">
        <v>118</v>
      </c>
      <c r="N6" s="1"/>
      <c r="O6" s="1"/>
      <c r="P6" s="1"/>
      <c r="Q6">
        <v>76954000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57</v>
      </c>
      <c r="AO6">
        <v>13</v>
      </c>
      <c r="AP6">
        <v>44</v>
      </c>
      <c r="AQ6">
        <v>0</v>
      </c>
      <c r="AR6">
        <v>0</v>
      </c>
      <c r="AS6">
        <v>0</v>
      </c>
      <c r="AT6">
        <v>2</v>
      </c>
      <c r="AU6">
        <v>25</v>
      </c>
      <c r="AV6">
        <v>32</v>
      </c>
      <c r="AW6">
        <v>0</v>
      </c>
      <c r="AX6">
        <v>21</v>
      </c>
      <c r="AY6">
        <v>0</v>
      </c>
      <c r="AZ6">
        <v>36</v>
      </c>
      <c r="BA6">
        <v>0</v>
      </c>
      <c r="BB6">
        <v>0</v>
      </c>
      <c r="BC6">
        <v>0</v>
      </c>
      <c r="BD6">
        <v>13</v>
      </c>
      <c r="BE6">
        <v>26</v>
      </c>
      <c r="BF6">
        <v>18</v>
      </c>
      <c r="BG6">
        <v>0</v>
      </c>
      <c r="BH6">
        <v>0</v>
      </c>
      <c r="BI6" s="1" t="s">
        <v>10</v>
      </c>
      <c r="BJ6" s="1" t="s">
        <v>13</v>
      </c>
      <c r="BK6" s="1" t="s">
        <v>20</v>
      </c>
      <c r="BL6" t="s">
        <v>104</v>
      </c>
      <c r="BM6" t="s">
        <v>95</v>
      </c>
      <c r="BN6" t="s">
        <v>105</v>
      </c>
      <c r="BO6" t="s">
        <v>97</v>
      </c>
      <c r="BP6" t="s">
        <v>116</v>
      </c>
    </row>
    <row r="7" spans="1:68" x14ac:dyDescent="0.3">
      <c r="A7" s="1" t="s">
        <v>86</v>
      </c>
      <c r="B7" s="1" t="s">
        <v>87</v>
      </c>
      <c r="C7" s="1" t="s">
        <v>88</v>
      </c>
      <c r="D7">
        <v>11</v>
      </c>
      <c r="E7" s="1" t="s">
        <v>89</v>
      </c>
      <c r="F7">
        <v>1100015</v>
      </c>
      <c r="G7" s="1" t="s">
        <v>5</v>
      </c>
      <c r="H7" s="1" t="s">
        <v>119</v>
      </c>
      <c r="I7">
        <v>11024291</v>
      </c>
      <c r="J7">
        <v>3</v>
      </c>
      <c r="K7">
        <v>2</v>
      </c>
      <c r="M7" s="1" t="s">
        <v>120</v>
      </c>
      <c r="N7" s="1"/>
      <c r="O7" s="1"/>
      <c r="P7" s="1"/>
      <c r="Q7">
        <v>76954000</v>
      </c>
      <c r="R7">
        <v>2</v>
      </c>
      <c r="BI7" s="1" t="s">
        <v>10</v>
      </c>
      <c r="BJ7" s="1"/>
      <c r="BK7" s="1" t="s">
        <v>21</v>
      </c>
    </row>
    <row r="8" spans="1:68" x14ac:dyDescent="0.3">
      <c r="A8" s="1" t="s">
        <v>86</v>
      </c>
      <c r="B8" s="1" t="s">
        <v>87</v>
      </c>
      <c r="C8" s="1" t="s">
        <v>88</v>
      </c>
      <c r="D8">
        <v>11</v>
      </c>
      <c r="E8" s="1" t="s">
        <v>89</v>
      </c>
      <c r="F8">
        <v>1100015</v>
      </c>
      <c r="G8" s="1" t="s">
        <v>4</v>
      </c>
      <c r="H8" s="1" t="s">
        <v>121</v>
      </c>
      <c r="I8">
        <v>11024968</v>
      </c>
      <c r="J8">
        <v>2</v>
      </c>
      <c r="K8">
        <v>1</v>
      </c>
      <c r="L8">
        <v>0</v>
      </c>
      <c r="M8" s="1" t="s">
        <v>122</v>
      </c>
      <c r="N8" s="1" t="s">
        <v>123</v>
      </c>
      <c r="O8" s="1"/>
      <c r="P8" s="1" t="s">
        <v>124</v>
      </c>
      <c r="Q8">
        <v>76954000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367</v>
      </c>
      <c r="AO8">
        <v>0</v>
      </c>
      <c r="AP8">
        <v>117</v>
      </c>
      <c r="AQ8">
        <v>250</v>
      </c>
      <c r="AR8">
        <v>0</v>
      </c>
      <c r="AS8">
        <v>0</v>
      </c>
      <c r="AT8">
        <v>5</v>
      </c>
      <c r="AU8">
        <v>193</v>
      </c>
      <c r="AV8">
        <v>174</v>
      </c>
      <c r="AW8">
        <v>0</v>
      </c>
      <c r="AX8">
        <v>171</v>
      </c>
      <c r="AY8">
        <v>7</v>
      </c>
      <c r="AZ8">
        <v>183</v>
      </c>
      <c r="BA8">
        <v>1</v>
      </c>
      <c r="BB8">
        <v>5</v>
      </c>
      <c r="BC8">
        <v>0</v>
      </c>
      <c r="BD8">
        <v>0</v>
      </c>
      <c r="BE8">
        <v>11</v>
      </c>
      <c r="BF8">
        <v>139</v>
      </c>
      <c r="BG8">
        <v>203</v>
      </c>
      <c r="BH8">
        <v>14</v>
      </c>
      <c r="BI8" s="1" t="s">
        <v>9</v>
      </c>
      <c r="BJ8" s="1" t="s">
        <v>13</v>
      </c>
      <c r="BK8" s="1" t="s">
        <v>20</v>
      </c>
      <c r="BL8" t="s">
        <v>125</v>
      </c>
      <c r="BM8" t="s">
        <v>95</v>
      </c>
      <c r="BN8" t="s">
        <v>105</v>
      </c>
      <c r="BO8" t="s">
        <v>97</v>
      </c>
      <c r="BP8" t="s">
        <v>106</v>
      </c>
    </row>
    <row r="9" spans="1:68" x14ac:dyDescent="0.3">
      <c r="A9" s="1" t="s">
        <v>86</v>
      </c>
      <c r="B9" s="1" t="s">
        <v>87</v>
      </c>
      <c r="C9" s="1" t="s">
        <v>88</v>
      </c>
      <c r="D9">
        <v>11</v>
      </c>
      <c r="E9" s="1" t="s">
        <v>89</v>
      </c>
      <c r="F9">
        <v>1100015</v>
      </c>
      <c r="G9" s="1" t="s">
        <v>5</v>
      </c>
      <c r="H9" s="1" t="s">
        <v>126</v>
      </c>
      <c r="I9">
        <v>11025034</v>
      </c>
      <c r="J9">
        <v>3</v>
      </c>
      <c r="K9">
        <v>2</v>
      </c>
      <c r="M9" s="1" t="s">
        <v>127</v>
      </c>
      <c r="N9" s="1"/>
      <c r="O9" s="1"/>
      <c r="P9" s="1"/>
      <c r="Q9">
        <v>76954000</v>
      </c>
      <c r="R9">
        <v>2</v>
      </c>
      <c r="BI9" s="1" t="s">
        <v>10</v>
      </c>
      <c r="BJ9" s="1"/>
      <c r="BK9" s="1" t="s">
        <v>21</v>
      </c>
    </row>
    <row r="10" spans="1:68" x14ac:dyDescent="0.3">
      <c r="A10" s="1" t="s">
        <v>86</v>
      </c>
      <c r="B10" s="1" t="s">
        <v>87</v>
      </c>
      <c r="C10" s="1" t="s">
        <v>88</v>
      </c>
      <c r="D10">
        <v>11</v>
      </c>
      <c r="E10" s="1" t="s">
        <v>89</v>
      </c>
      <c r="F10">
        <v>1100015</v>
      </c>
      <c r="G10" s="1" t="s">
        <v>5</v>
      </c>
      <c r="H10" s="1" t="s">
        <v>128</v>
      </c>
      <c r="I10">
        <v>11025115</v>
      </c>
      <c r="J10">
        <v>3</v>
      </c>
      <c r="K10">
        <v>2</v>
      </c>
      <c r="L10">
        <v>0</v>
      </c>
      <c r="M10" s="1" t="s">
        <v>129</v>
      </c>
      <c r="N10" s="1"/>
      <c r="O10" s="1"/>
      <c r="P10" s="1"/>
      <c r="Q10">
        <v>76954000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20</v>
      </c>
      <c r="AO10">
        <v>0</v>
      </c>
      <c r="AP10">
        <v>20</v>
      </c>
      <c r="AQ10">
        <v>0</v>
      </c>
      <c r="AR10">
        <v>0</v>
      </c>
      <c r="AS10">
        <v>0</v>
      </c>
      <c r="AT10">
        <v>2</v>
      </c>
      <c r="AU10">
        <v>9</v>
      </c>
      <c r="AV10">
        <v>11</v>
      </c>
      <c r="AW10">
        <v>0</v>
      </c>
      <c r="AX10">
        <v>8</v>
      </c>
      <c r="AY10">
        <v>0</v>
      </c>
      <c r="AZ10">
        <v>12</v>
      </c>
      <c r="BA10">
        <v>0</v>
      </c>
      <c r="BB10">
        <v>0</v>
      </c>
      <c r="BC10">
        <v>0</v>
      </c>
      <c r="BD10">
        <v>0</v>
      </c>
      <c r="BE10">
        <v>20</v>
      </c>
      <c r="BF10">
        <v>0</v>
      </c>
      <c r="BG10">
        <v>0</v>
      </c>
      <c r="BH10">
        <v>0</v>
      </c>
      <c r="BI10" s="1" t="s">
        <v>10</v>
      </c>
      <c r="BJ10" s="1" t="s">
        <v>13</v>
      </c>
      <c r="BK10" s="1" t="s">
        <v>20</v>
      </c>
      <c r="BL10" t="s">
        <v>94</v>
      </c>
      <c r="BM10" t="s">
        <v>95</v>
      </c>
      <c r="BN10" t="s">
        <v>105</v>
      </c>
      <c r="BO10" t="s">
        <v>97</v>
      </c>
      <c r="BP10" t="s">
        <v>116</v>
      </c>
    </row>
    <row r="11" spans="1:68" x14ac:dyDescent="0.3">
      <c r="A11" s="1" t="s">
        <v>86</v>
      </c>
      <c r="B11" s="1" t="s">
        <v>87</v>
      </c>
      <c r="C11" s="1" t="s">
        <v>88</v>
      </c>
      <c r="D11">
        <v>11</v>
      </c>
      <c r="E11" s="1" t="s">
        <v>89</v>
      </c>
      <c r="F11">
        <v>1100015</v>
      </c>
      <c r="G11" s="1" t="s">
        <v>5</v>
      </c>
      <c r="H11" s="1" t="s">
        <v>130</v>
      </c>
      <c r="I11">
        <v>11025310</v>
      </c>
      <c r="J11">
        <v>3</v>
      </c>
      <c r="K11">
        <v>2</v>
      </c>
      <c r="L11">
        <v>0</v>
      </c>
      <c r="M11" s="1" t="s">
        <v>131</v>
      </c>
      <c r="N11" s="1"/>
      <c r="O11" s="1"/>
      <c r="P11" s="1"/>
      <c r="Q11">
        <v>76954000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238</v>
      </c>
      <c r="AO11">
        <v>39</v>
      </c>
      <c r="AP11">
        <v>199</v>
      </c>
      <c r="AQ11">
        <v>0</v>
      </c>
      <c r="AR11">
        <v>0</v>
      </c>
      <c r="AS11">
        <v>0</v>
      </c>
      <c r="AT11">
        <v>2</v>
      </c>
      <c r="AU11">
        <v>113</v>
      </c>
      <c r="AV11">
        <v>125</v>
      </c>
      <c r="AW11">
        <v>1</v>
      </c>
      <c r="AX11">
        <v>107</v>
      </c>
      <c r="AY11">
        <v>1</v>
      </c>
      <c r="AZ11">
        <v>129</v>
      </c>
      <c r="BA11">
        <v>0</v>
      </c>
      <c r="BB11">
        <v>0</v>
      </c>
      <c r="BC11">
        <v>0</v>
      </c>
      <c r="BD11">
        <v>33</v>
      </c>
      <c r="BE11">
        <v>104</v>
      </c>
      <c r="BF11">
        <v>97</v>
      </c>
      <c r="BG11">
        <v>3</v>
      </c>
      <c r="BH11">
        <v>1</v>
      </c>
      <c r="BI11" s="1" t="s">
        <v>10</v>
      </c>
      <c r="BJ11" s="1" t="s">
        <v>13</v>
      </c>
      <c r="BK11" s="1" t="s">
        <v>20</v>
      </c>
      <c r="BL11" t="s">
        <v>125</v>
      </c>
      <c r="BM11" t="s">
        <v>95</v>
      </c>
      <c r="BN11" t="s">
        <v>105</v>
      </c>
      <c r="BO11" t="s">
        <v>97</v>
      </c>
      <c r="BP11" t="s">
        <v>116</v>
      </c>
    </row>
    <row r="12" spans="1:68" x14ac:dyDescent="0.3">
      <c r="A12" s="1" t="s">
        <v>86</v>
      </c>
      <c r="B12" s="1" t="s">
        <v>87</v>
      </c>
      <c r="C12" s="1" t="s">
        <v>88</v>
      </c>
      <c r="D12">
        <v>11</v>
      </c>
      <c r="E12" s="1" t="s">
        <v>89</v>
      </c>
      <c r="F12">
        <v>1100015</v>
      </c>
      <c r="G12" s="1" t="s">
        <v>5</v>
      </c>
      <c r="H12" s="1" t="s">
        <v>132</v>
      </c>
      <c r="I12">
        <v>11025352</v>
      </c>
      <c r="J12">
        <v>3</v>
      </c>
      <c r="K12">
        <v>2</v>
      </c>
      <c r="L12">
        <v>0</v>
      </c>
      <c r="M12" s="1" t="s">
        <v>133</v>
      </c>
      <c r="N12" s="1" t="s">
        <v>134</v>
      </c>
      <c r="O12" s="1" t="s">
        <v>134</v>
      </c>
      <c r="P12" s="1" t="s">
        <v>114</v>
      </c>
      <c r="Q12">
        <v>76954000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150</v>
      </c>
      <c r="AO12">
        <v>20</v>
      </c>
      <c r="AP12">
        <v>130</v>
      </c>
      <c r="AQ12">
        <v>0</v>
      </c>
      <c r="AR12">
        <v>0</v>
      </c>
      <c r="AS12">
        <v>0</v>
      </c>
      <c r="AT12">
        <v>6</v>
      </c>
      <c r="AU12">
        <v>70</v>
      </c>
      <c r="AV12">
        <v>80</v>
      </c>
      <c r="AW12">
        <v>0</v>
      </c>
      <c r="AX12">
        <v>55</v>
      </c>
      <c r="AY12">
        <v>2</v>
      </c>
      <c r="AZ12">
        <v>93</v>
      </c>
      <c r="BA12">
        <v>0</v>
      </c>
      <c r="BB12">
        <v>0</v>
      </c>
      <c r="BC12">
        <v>0</v>
      </c>
      <c r="BD12">
        <v>16</v>
      </c>
      <c r="BE12">
        <v>75</v>
      </c>
      <c r="BF12">
        <v>55</v>
      </c>
      <c r="BG12">
        <v>4</v>
      </c>
      <c r="BH12">
        <v>0</v>
      </c>
      <c r="BI12" s="1" t="s">
        <v>10</v>
      </c>
      <c r="BJ12" s="1" t="s">
        <v>13</v>
      </c>
      <c r="BK12" s="1" t="s">
        <v>20</v>
      </c>
      <c r="BL12" t="s">
        <v>104</v>
      </c>
      <c r="BM12" t="s">
        <v>95</v>
      </c>
      <c r="BN12" t="s">
        <v>105</v>
      </c>
      <c r="BO12" t="s">
        <v>97</v>
      </c>
      <c r="BP12" t="s">
        <v>116</v>
      </c>
    </row>
    <row r="13" spans="1:68" x14ac:dyDescent="0.3">
      <c r="A13" s="1" t="s">
        <v>86</v>
      </c>
      <c r="B13" s="1" t="s">
        <v>87</v>
      </c>
      <c r="C13" s="1" t="s">
        <v>88</v>
      </c>
      <c r="D13">
        <v>11</v>
      </c>
      <c r="E13" s="1" t="s">
        <v>89</v>
      </c>
      <c r="F13">
        <v>1100015</v>
      </c>
      <c r="G13" s="1" t="s">
        <v>5</v>
      </c>
      <c r="H13" s="1" t="s">
        <v>135</v>
      </c>
      <c r="I13">
        <v>11025476</v>
      </c>
      <c r="J13">
        <v>3</v>
      </c>
      <c r="K13">
        <v>2</v>
      </c>
      <c r="M13" s="1" t="s">
        <v>136</v>
      </c>
      <c r="N13" s="1"/>
      <c r="O13" s="1"/>
      <c r="P13" s="1"/>
      <c r="Q13">
        <v>76954000</v>
      </c>
      <c r="R13">
        <v>2</v>
      </c>
      <c r="BI13" s="1" t="s">
        <v>10</v>
      </c>
      <c r="BJ13" s="1"/>
      <c r="BK13" s="1" t="s">
        <v>21</v>
      </c>
    </row>
    <row r="14" spans="1:68" x14ac:dyDescent="0.3">
      <c r="A14" s="1" t="s">
        <v>86</v>
      </c>
      <c r="B14" s="1" t="s">
        <v>87</v>
      </c>
      <c r="C14" s="1" t="s">
        <v>88</v>
      </c>
      <c r="D14">
        <v>11</v>
      </c>
      <c r="E14" s="1" t="s">
        <v>89</v>
      </c>
      <c r="F14">
        <v>1100015</v>
      </c>
      <c r="G14" s="1" t="s">
        <v>4</v>
      </c>
      <c r="H14" s="1" t="s">
        <v>137</v>
      </c>
      <c r="I14">
        <v>11025620</v>
      </c>
      <c r="J14">
        <v>2</v>
      </c>
      <c r="K14">
        <v>1</v>
      </c>
      <c r="L14">
        <v>0</v>
      </c>
      <c r="M14" s="1" t="s">
        <v>138</v>
      </c>
      <c r="N14" s="1" t="s">
        <v>139</v>
      </c>
      <c r="O14" s="1"/>
      <c r="P14" s="1" t="s">
        <v>140</v>
      </c>
      <c r="Q14">
        <v>76954000</v>
      </c>
      <c r="R14">
        <v>1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229</v>
      </c>
      <c r="AO14">
        <v>0</v>
      </c>
      <c r="AP14">
        <v>158</v>
      </c>
      <c r="AQ14">
        <v>0</v>
      </c>
      <c r="AR14">
        <v>0</v>
      </c>
      <c r="AS14">
        <v>71</v>
      </c>
      <c r="AT14">
        <v>11</v>
      </c>
      <c r="AU14">
        <v>102</v>
      </c>
      <c r="AV14">
        <v>127</v>
      </c>
      <c r="AW14">
        <v>0</v>
      </c>
      <c r="AX14">
        <v>47</v>
      </c>
      <c r="AY14">
        <v>4</v>
      </c>
      <c r="AZ14">
        <v>173</v>
      </c>
      <c r="BA14">
        <v>1</v>
      </c>
      <c r="BB14">
        <v>4</v>
      </c>
      <c r="BC14">
        <v>0</v>
      </c>
      <c r="BD14">
        <v>0</v>
      </c>
      <c r="BE14">
        <v>7</v>
      </c>
      <c r="BF14">
        <v>132</v>
      </c>
      <c r="BG14">
        <v>24</v>
      </c>
      <c r="BH14">
        <v>66</v>
      </c>
      <c r="BI14" s="1" t="s">
        <v>9</v>
      </c>
      <c r="BJ14" s="1" t="s">
        <v>13</v>
      </c>
      <c r="BK14" s="1" t="s">
        <v>20</v>
      </c>
      <c r="BL14" t="s">
        <v>125</v>
      </c>
      <c r="BM14" t="s">
        <v>95</v>
      </c>
      <c r="BN14" t="s">
        <v>105</v>
      </c>
      <c r="BO14" t="s">
        <v>97</v>
      </c>
      <c r="BP14" t="s">
        <v>106</v>
      </c>
    </row>
    <row r="15" spans="1:68" x14ac:dyDescent="0.3">
      <c r="A15" s="1" t="s">
        <v>86</v>
      </c>
      <c r="B15" s="1" t="s">
        <v>87</v>
      </c>
      <c r="C15" s="1" t="s">
        <v>88</v>
      </c>
      <c r="D15">
        <v>11</v>
      </c>
      <c r="E15" s="1" t="s">
        <v>89</v>
      </c>
      <c r="F15">
        <v>1100015</v>
      </c>
      <c r="G15" s="1" t="s">
        <v>4</v>
      </c>
      <c r="H15" s="1" t="s">
        <v>141</v>
      </c>
      <c r="I15">
        <v>11025638</v>
      </c>
      <c r="J15">
        <v>2</v>
      </c>
      <c r="K15">
        <v>1</v>
      </c>
      <c r="L15">
        <v>0</v>
      </c>
      <c r="M15" s="1" t="s">
        <v>142</v>
      </c>
      <c r="N15" s="1" t="s">
        <v>143</v>
      </c>
      <c r="O15" s="1"/>
      <c r="P15" s="1" t="s">
        <v>144</v>
      </c>
      <c r="Q15">
        <v>76954000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740</v>
      </c>
      <c r="AO15">
        <v>0</v>
      </c>
      <c r="AP15">
        <v>418</v>
      </c>
      <c r="AQ15">
        <v>322</v>
      </c>
      <c r="AR15">
        <v>0</v>
      </c>
      <c r="AS15">
        <v>0</v>
      </c>
      <c r="AT15">
        <v>27</v>
      </c>
      <c r="AU15">
        <v>380</v>
      </c>
      <c r="AV15">
        <v>360</v>
      </c>
      <c r="AW15">
        <v>0</v>
      </c>
      <c r="AX15">
        <v>248</v>
      </c>
      <c r="AY15">
        <v>21</v>
      </c>
      <c r="AZ15">
        <v>461</v>
      </c>
      <c r="BA15">
        <v>1</v>
      </c>
      <c r="BB15">
        <v>9</v>
      </c>
      <c r="BC15">
        <v>0</v>
      </c>
      <c r="BD15">
        <v>0</v>
      </c>
      <c r="BE15">
        <v>50</v>
      </c>
      <c r="BF15">
        <v>392</v>
      </c>
      <c r="BG15">
        <v>278</v>
      </c>
      <c r="BH15">
        <v>20</v>
      </c>
      <c r="BI15" s="1" t="s">
        <v>9</v>
      </c>
      <c r="BJ15" s="1" t="s">
        <v>13</v>
      </c>
      <c r="BK15" s="1" t="s">
        <v>20</v>
      </c>
      <c r="BL15" t="s">
        <v>111</v>
      </c>
      <c r="BM15" t="s">
        <v>95</v>
      </c>
      <c r="BN15" t="s">
        <v>105</v>
      </c>
      <c r="BO15" t="s">
        <v>97</v>
      </c>
      <c r="BP15" t="s">
        <v>106</v>
      </c>
    </row>
    <row r="16" spans="1:68" x14ac:dyDescent="0.3">
      <c r="A16" s="1" t="s">
        <v>86</v>
      </c>
      <c r="B16" s="1" t="s">
        <v>87</v>
      </c>
      <c r="C16" s="1" t="s">
        <v>88</v>
      </c>
      <c r="D16">
        <v>11</v>
      </c>
      <c r="E16" s="1" t="s">
        <v>89</v>
      </c>
      <c r="F16">
        <v>1100015</v>
      </c>
      <c r="G16" s="1" t="s">
        <v>5</v>
      </c>
      <c r="H16" s="1" t="s">
        <v>145</v>
      </c>
      <c r="I16">
        <v>11025654</v>
      </c>
      <c r="J16">
        <v>3</v>
      </c>
      <c r="K16">
        <v>1</v>
      </c>
      <c r="L16">
        <v>0</v>
      </c>
      <c r="M16" s="1" t="s">
        <v>146</v>
      </c>
      <c r="N16" s="1" t="s">
        <v>147</v>
      </c>
      <c r="O16" s="1"/>
      <c r="P16" s="1" t="s">
        <v>103</v>
      </c>
      <c r="Q16">
        <v>76954000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451</v>
      </c>
      <c r="AO16">
        <v>96</v>
      </c>
      <c r="AP16">
        <v>355</v>
      </c>
      <c r="AQ16">
        <v>0</v>
      </c>
      <c r="AR16">
        <v>0</v>
      </c>
      <c r="AS16">
        <v>0</v>
      </c>
      <c r="AT16">
        <v>34</v>
      </c>
      <c r="AU16">
        <v>217</v>
      </c>
      <c r="AV16">
        <v>234</v>
      </c>
      <c r="AW16">
        <v>0</v>
      </c>
      <c r="AX16">
        <v>184</v>
      </c>
      <c r="AY16">
        <v>4</v>
      </c>
      <c r="AZ16">
        <v>252</v>
      </c>
      <c r="BA16">
        <v>1</v>
      </c>
      <c r="BB16">
        <v>10</v>
      </c>
      <c r="BC16">
        <v>0</v>
      </c>
      <c r="BD16">
        <v>86</v>
      </c>
      <c r="BE16">
        <v>353</v>
      </c>
      <c r="BF16">
        <v>12</v>
      </c>
      <c r="BG16">
        <v>0</v>
      </c>
      <c r="BH16">
        <v>0</v>
      </c>
      <c r="BI16" s="1" t="s">
        <v>9</v>
      </c>
      <c r="BJ16" s="1" t="s">
        <v>13</v>
      </c>
      <c r="BK16" s="1" t="s">
        <v>20</v>
      </c>
      <c r="BL16" t="s">
        <v>125</v>
      </c>
      <c r="BM16" t="s">
        <v>105</v>
      </c>
      <c r="BN16" t="s">
        <v>105</v>
      </c>
      <c r="BO16" t="s">
        <v>97</v>
      </c>
      <c r="BP16" t="s">
        <v>106</v>
      </c>
    </row>
    <row r="17" spans="1:68" x14ac:dyDescent="0.3">
      <c r="A17" s="1" t="s">
        <v>86</v>
      </c>
      <c r="B17" s="1" t="s">
        <v>87</v>
      </c>
      <c r="C17" s="1" t="s">
        <v>88</v>
      </c>
      <c r="D17">
        <v>11</v>
      </c>
      <c r="E17" s="1" t="s">
        <v>89</v>
      </c>
      <c r="F17">
        <v>1100015</v>
      </c>
      <c r="G17" s="1" t="s">
        <v>4</v>
      </c>
      <c r="H17" s="1" t="s">
        <v>148</v>
      </c>
      <c r="I17">
        <v>11037962</v>
      </c>
      <c r="J17">
        <v>2</v>
      </c>
      <c r="K17">
        <v>2</v>
      </c>
      <c r="L17">
        <v>2</v>
      </c>
      <c r="M17" s="1" t="s">
        <v>91</v>
      </c>
      <c r="N17" s="1" t="s">
        <v>149</v>
      </c>
      <c r="O17" s="1" t="s">
        <v>150</v>
      </c>
      <c r="P17" s="1" t="s">
        <v>93</v>
      </c>
      <c r="Q17">
        <v>76954000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68</v>
      </c>
      <c r="AO17">
        <v>0</v>
      </c>
      <c r="AP17">
        <v>44</v>
      </c>
      <c r="AQ17">
        <v>24</v>
      </c>
      <c r="AR17">
        <v>0</v>
      </c>
      <c r="AS17">
        <v>0</v>
      </c>
      <c r="AT17">
        <v>0</v>
      </c>
      <c r="AU17">
        <v>33</v>
      </c>
      <c r="AV17">
        <v>35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68</v>
      </c>
      <c r="BC17">
        <v>0</v>
      </c>
      <c r="BD17">
        <v>0</v>
      </c>
      <c r="BE17">
        <v>13</v>
      </c>
      <c r="BF17">
        <v>17</v>
      </c>
      <c r="BG17">
        <v>21</v>
      </c>
      <c r="BH17">
        <v>17</v>
      </c>
      <c r="BI17" s="1" t="s">
        <v>10</v>
      </c>
      <c r="BJ17" s="1" t="s">
        <v>15</v>
      </c>
      <c r="BK17" s="1" t="s">
        <v>20</v>
      </c>
      <c r="BL17" t="s">
        <v>104</v>
      </c>
      <c r="BM17" t="s">
        <v>151</v>
      </c>
      <c r="BN17" t="s">
        <v>96</v>
      </c>
      <c r="BO17" t="s">
        <v>97</v>
      </c>
      <c r="BP17" t="s">
        <v>98</v>
      </c>
    </row>
    <row r="18" spans="1:68" x14ac:dyDescent="0.3">
      <c r="A18" s="1" t="s">
        <v>86</v>
      </c>
      <c r="B18" s="1" t="s">
        <v>87</v>
      </c>
      <c r="C18" s="1" t="s">
        <v>88</v>
      </c>
      <c r="D18">
        <v>11</v>
      </c>
      <c r="E18" s="1" t="s">
        <v>89</v>
      </c>
      <c r="F18">
        <v>1100015</v>
      </c>
      <c r="G18" s="1" t="s">
        <v>4</v>
      </c>
      <c r="H18" s="1" t="s">
        <v>152</v>
      </c>
      <c r="I18">
        <v>11038047</v>
      </c>
      <c r="J18">
        <v>2</v>
      </c>
      <c r="K18">
        <v>2</v>
      </c>
      <c r="L18">
        <v>2</v>
      </c>
      <c r="M18" s="1" t="s">
        <v>153</v>
      </c>
      <c r="N18" s="1" t="s">
        <v>149</v>
      </c>
      <c r="O18" s="1" t="s">
        <v>154</v>
      </c>
      <c r="P18" s="1" t="s">
        <v>93</v>
      </c>
      <c r="Q18">
        <v>76954000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5</v>
      </c>
      <c r="AO18">
        <v>0</v>
      </c>
      <c r="AP18">
        <v>5</v>
      </c>
      <c r="AQ18">
        <v>0</v>
      </c>
      <c r="AR18">
        <v>0</v>
      </c>
      <c r="AS18">
        <v>0</v>
      </c>
      <c r="AT18">
        <v>0</v>
      </c>
      <c r="AU18">
        <v>4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5</v>
      </c>
      <c r="BC18">
        <v>0</v>
      </c>
      <c r="BD18">
        <v>0</v>
      </c>
      <c r="BE18">
        <v>4</v>
      </c>
      <c r="BF18">
        <v>1</v>
      </c>
      <c r="BG18">
        <v>0</v>
      </c>
      <c r="BH18">
        <v>0</v>
      </c>
      <c r="BI18" s="1" t="s">
        <v>10</v>
      </c>
      <c r="BJ18" s="1" t="s">
        <v>15</v>
      </c>
      <c r="BK18" s="1" t="s">
        <v>20</v>
      </c>
      <c r="BL18" t="s">
        <v>94</v>
      </c>
      <c r="BM18" t="s">
        <v>95</v>
      </c>
      <c r="BN18" t="s">
        <v>96</v>
      </c>
      <c r="BO18" t="s">
        <v>97</v>
      </c>
      <c r="BP18" t="s">
        <v>98</v>
      </c>
    </row>
    <row r="19" spans="1:68" x14ac:dyDescent="0.3">
      <c r="A19" s="1" t="s">
        <v>86</v>
      </c>
      <c r="B19" s="1" t="s">
        <v>87</v>
      </c>
      <c r="C19" s="1" t="s">
        <v>88</v>
      </c>
      <c r="D19">
        <v>11</v>
      </c>
      <c r="E19" s="1" t="s">
        <v>89</v>
      </c>
      <c r="F19">
        <v>1100015</v>
      </c>
      <c r="G19" s="1" t="s">
        <v>4</v>
      </c>
      <c r="H19" s="1" t="s">
        <v>155</v>
      </c>
      <c r="I19">
        <v>11038373</v>
      </c>
      <c r="J19">
        <v>2</v>
      </c>
      <c r="K19">
        <v>2</v>
      </c>
      <c r="L19">
        <v>2</v>
      </c>
      <c r="M19" s="1" t="s">
        <v>91</v>
      </c>
      <c r="N19" s="1" t="s">
        <v>149</v>
      </c>
      <c r="O19" s="1" t="s">
        <v>156</v>
      </c>
      <c r="P19" s="1" t="s">
        <v>93</v>
      </c>
      <c r="Q19">
        <v>76954000</v>
      </c>
      <c r="R19">
        <v>1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84</v>
      </c>
      <c r="AO19">
        <v>0</v>
      </c>
      <c r="AP19">
        <v>66</v>
      </c>
      <c r="AQ19">
        <v>18</v>
      </c>
      <c r="AR19">
        <v>0</v>
      </c>
      <c r="AS19">
        <v>0</v>
      </c>
      <c r="AT19">
        <v>0</v>
      </c>
      <c r="AU19">
        <v>53</v>
      </c>
      <c r="AV19">
        <v>31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83</v>
      </c>
      <c r="BC19">
        <v>0</v>
      </c>
      <c r="BD19">
        <v>0</v>
      </c>
      <c r="BE19">
        <v>26</v>
      </c>
      <c r="BF19">
        <v>17</v>
      </c>
      <c r="BG19">
        <v>17</v>
      </c>
      <c r="BH19">
        <v>24</v>
      </c>
      <c r="BI19" s="1" t="s">
        <v>10</v>
      </c>
      <c r="BJ19" s="1" t="s">
        <v>15</v>
      </c>
      <c r="BK19" s="1" t="s">
        <v>20</v>
      </c>
      <c r="BL19" t="s">
        <v>104</v>
      </c>
      <c r="BM19" t="s">
        <v>151</v>
      </c>
      <c r="BN19" t="s">
        <v>105</v>
      </c>
      <c r="BO19" t="s">
        <v>97</v>
      </c>
      <c r="BP19" t="s">
        <v>98</v>
      </c>
    </row>
    <row r="20" spans="1:68" x14ac:dyDescent="0.3">
      <c r="A20" s="1" t="s">
        <v>86</v>
      </c>
      <c r="B20" s="1" t="s">
        <v>87</v>
      </c>
      <c r="C20" s="1" t="s">
        <v>88</v>
      </c>
      <c r="D20">
        <v>11</v>
      </c>
      <c r="E20" s="1" t="s">
        <v>89</v>
      </c>
      <c r="F20">
        <v>1100015</v>
      </c>
      <c r="G20" s="1" t="s">
        <v>5</v>
      </c>
      <c r="H20" s="1" t="s">
        <v>157</v>
      </c>
      <c r="I20">
        <v>11039493</v>
      </c>
      <c r="J20">
        <v>3</v>
      </c>
      <c r="K20">
        <v>1</v>
      </c>
      <c r="L20">
        <v>0</v>
      </c>
      <c r="M20" s="1" t="s">
        <v>158</v>
      </c>
      <c r="N20" s="1" t="s">
        <v>159</v>
      </c>
      <c r="O20" s="1" t="s">
        <v>160</v>
      </c>
      <c r="P20" s="1" t="s">
        <v>144</v>
      </c>
      <c r="Q20">
        <v>76954000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126</v>
      </c>
      <c r="AO20">
        <v>126</v>
      </c>
      <c r="AP20">
        <v>0</v>
      </c>
      <c r="AQ20">
        <v>0</v>
      </c>
      <c r="AR20">
        <v>0</v>
      </c>
      <c r="AS20">
        <v>0</v>
      </c>
      <c r="AT20">
        <v>5</v>
      </c>
      <c r="AU20">
        <v>53</v>
      </c>
      <c r="AV20">
        <v>73</v>
      </c>
      <c r="AW20">
        <v>1</v>
      </c>
      <c r="AX20">
        <v>57</v>
      </c>
      <c r="AY20">
        <v>5</v>
      </c>
      <c r="AZ20">
        <v>63</v>
      </c>
      <c r="BA20">
        <v>0</v>
      </c>
      <c r="BB20">
        <v>0</v>
      </c>
      <c r="BC20">
        <v>114</v>
      </c>
      <c r="BD20">
        <v>12</v>
      </c>
      <c r="BE20">
        <v>0</v>
      </c>
      <c r="BF20">
        <v>0</v>
      </c>
      <c r="BG20">
        <v>0</v>
      </c>
      <c r="BH20">
        <v>0</v>
      </c>
      <c r="BI20" s="1" t="s">
        <v>9</v>
      </c>
      <c r="BJ20" s="1" t="s">
        <v>13</v>
      </c>
      <c r="BK20" s="1" t="s">
        <v>20</v>
      </c>
      <c r="BL20" t="s">
        <v>104</v>
      </c>
      <c r="BM20" t="s">
        <v>95</v>
      </c>
      <c r="BN20" t="s">
        <v>105</v>
      </c>
      <c r="BO20" t="s">
        <v>97</v>
      </c>
      <c r="BP20" t="s">
        <v>106</v>
      </c>
    </row>
    <row r="21" spans="1:68" x14ac:dyDescent="0.3">
      <c r="A21" s="1" t="s">
        <v>86</v>
      </c>
      <c r="B21" s="1" t="s">
        <v>87</v>
      </c>
      <c r="C21" s="1" t="s">
        <v>88</v>
      </c>
      <c r="D21">
        <v>11</v>
      </c>
      <c r="E21" s="1" t="s">
        <v>89</v>
      </c>
      <c r="F21">
        <v>1100015</v>
      </c>
      <c r="G21" s="1" t="s">
        <v>4</v>
      </c>
      <c r="H21" s="1" t="s">
        <v>161</v>
      </c>
      <c r="I21">
        <v>11046236</v>
      </c>
      <c r="J21">
        <v>2</v>
      </c>
      <c r="K21">
        <v>2</v>
      </c>
      <c r="L21">
        <v>2</v>
      </c>
      <c r="M21" s="1" t="s">
        <v>91</v>
      </c>
      <c r="N21" s="1"/>
      <c r="O21" s="1" t="s">
        <v>162</v>
      </c>
      <c r="P21" s="1" t="s">
        <v>93</v>
      </c>
      <c r="Q21">
        <v>76954000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3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</v>
      </c>
      <c r="BC21">
        <v>0</v>
      </c>
      <c r="BD21">
        <v>0</v>
      </c>
      <c r="BE21">
        <v>3</v>
      </c>
      <c r="BF21">
        <v>0</v>
      </c>
      <c r="BG21">
        <v>0</v>
      </c>
      <c r="BH21">
        <v>0</v>
      </c>
      <c r="BI21" s="1" t="s">
        <v>10</v>
      </c>
      <c r="BJ21" s="1" t="s">
        <v>15</v>
      </c>
      <c r="BK21" s="1" t="s">
        <v>20</v>
      </c>
      <c r="BL21" t="s">
        <v>94</v>
      </c>
      <c r="BM21" t="s">
        <v>95</v>
      </c>
      <c r="BN21" t="s">
        <v>163</v>
      </c>
      <c r="BO21" t="s">
        <v>97</v>
      </c>
      <c r="BP21" t="s">
        <v>98</v>
      </c>
    </row>
    <row r="22" spans="1:68" x14ac:dyDescent="0.3">
      <c r="A22" s="1" t="s">
        <v>86</v>
      </c>
      <c r="B22" s="1" t="s">
        <v>87</v>
      </c>
      <c r="C22" s="1" t="s">
        <v>88</v>
      </c>
      <c r="D22">
        <v>11</v>
      </c>
      <c r="E22" s="1" t="s">
        <v>89</v>
      </c>
      <c r="F22">
        <v>1100015</v>
      </c>
      <c r="G22" s="1" t="s">
        <v>4</v>
      </c>
      <c r="H22" s="1" t="s">
        <v>164</v>
      </c>
      <c r="I22">
        <v>11046244</v>
      </c>
      <c r="J22">
        <v>2</v>
      </c>
      <c r="K22">
        <v>2</v>
      </c>
      <c r="L22">
        <v>2</v>
      </c>
      <c r="M22" s="1" t="s">
        <v>91</v>
      </c>
      <c r="N22" s="1" t="s">
        <v>149</v>
      </c>
      <c r="O22" s="1" t="s">
        <v>165</v>
      </c>
      <c r="P22" s="1" t="s">
        <v>93</v>
      </c>
      <c r="Q22">
        <v>76954000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4</v>
      </c>
      <c r="AO22">
        <v>0</v>
      </c>
      <c r="AP22">
        <v>4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</v>
      </c>
      <c r="BC22">
        <v>0</v>
      </c>
      <c r="BD22">
        <v>0</v>
      </c>
      <c r="BE22">
        <v>3</v>
      </c>
      <c r="BF22">
        <v>1</v>
      </c>
      <c r="BG22">
        <v>0</v>
      </c>
      <c r="BH22">
        <v>0</v>
      </c>
      <c r="BI22" s="1" t="s">
        <v>10</v>
      </c>
      <c r="BJ22" s="1" t="s">
        <v>15</v>
      </c>
      <c r="BK22" s="1" t="s">
        <v>20</v>
      </c>
      <c r="BL22" t="s">
        <v>94</v>
      </c>
      <c r="BM22" t="s">
        <v>151</v>
      </c>
      <c r="BN22" t="s">
        <v>163</v>
      </c>
      <c r="BO22" t="s">
        <v>97</v>
      </c>
      <c r="BP22" t="s">
        <v>98</v>
      </c>
    </row>
    <row r="23" spans="1:68" x14ac:dyDescent="0.3">
      <c r="A23" s="1" t="s">
        <v>86</v>
      </c>
      <c r="B23" s="1" t="s">
        <v>87</v>
      </c>
      <c r="C23" s="1" t="s">
        <v>88</v>
      </c>
      <c r="D23">
        <v>11</v>
      </c>
      <c r="E23" s="1" t="s">
        <v>89</v>
      </c>
      <c r="F23">
        <v>1100015</v>
      </c>
      <c r="G23" s="1" t="s">
        <v>4</v>
      </c>
      <c r="H23" s="1" t="s">
        <v>166</v>
      </c>
      <c r="I23">
        <v>11046252</v>
      </c>
      <c r="J23">
        <v>2</v>
      </c>
      <c r="K23">
        <v>2</v>
      </c>
      <c r="L23">
        <v>2</v>
      </c>
      <c r="M23" s="1" t="s">
        <v>91</v>
      </c>
      <c r="N23" s="1" t="s">
        <v>149</v>
      </c>
      <c r="O23" s="1" t="s">
        <v>167</v>
      </c>
      <c r="P23" s="1" t="s">
        <v>93</v>
      </c>
      <c r="Q23">
        <v>76954000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100</v>
      </c>
      <c r="AO23">
        <v>0</v>
      </c>
      <c r="AP23">
        <v>70</v>
      </c>
      <c r="AQ23">
        <v>30</v>
      </c>
      <c r="AR23">
        <v>0</v>
      </c>
      <c r="AS23">
        <v>0</v>
      </c>
      <c r="AT23">
        <v>0</v>
      </c>
      <c r="AU23">
        <v>53</v>
      </c>
      <c r="AV23">
        <v>47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99</v>
      </c>
      <c r="BC23">
        <v>0</v>
      </c>
      <c r="BD23">
        <v>0</v>
      </c>
      <c r="BE23">
        <v>32</v>
      </c>
      <c r="BF23">
        <v>22</v>
      </c>
      <c r="BG23">
        <v>24</v>
      </c>
      <c r="BH23">
        <v>22</v>
      </c>
      <c r="BI23" s="1" t="s">
        <v>10</v>
      </c>
      <c r="BJ23" s="1" t="s">
        <v>15</v>
      </c>
      <c r="BK23" s="1" t="s">
        <v>20</v>
      </c>
      <c r="BL23" t="s">
        <v>104</v>
      </c>
      <c r="BM23" t="s">
        <v>151</v>
      </c>
      <c r="BN23" t="s">
        <v>105</v>
      </c>
      <c r="BO23" t="s">
        <v>97</v>
      </c>
      <c r="BP23" t="s">
        <v>98</v>
      </c>
    </row>
    <row r="24" spans="1:68" x14ac:dyDescent="0.3">
      <c r="A24" s="1" t="s">
        <v>86</v>
      </c>
      <c r="B24" s="1" t="s">
        <v>87</v>
      </c>
      <c r="C24" s="1" t="s">
        <v>88</v>
      </c>
      <c r="D24">
        <v>11</v>
      </c>
      <c r="E24" s="1" t="s">
        <v>89</v>
      </c>
      <c r="F24">
        <v>1100015</v>
      </c>
      <c r="G24" s="1" t="s">
        <v>6</v>
      </c>
      <c r="H24" s="1" t="s">
        <v>168</v>
      </c>
      <c r="I24">
        <v>11046864</v>
      </c>
      <c r="J24">
        <v>4</v>
      </c>
      <c r="K24">
        <v>1</v>
      </c>
      <c r="L24">
        <v>0</v>
      </c>
      <c r="M24" s="1" t="s">
        <v>169</v>
      </c>
      <c r="N24" s="1" t="s">
        <v>170</v>
      </c>
      <c r="O24" s="1"/>
      <c r="P24" s="1" t="s">
        <v>103</v>
      </c>
      <c r="Q24">
        <v>76954000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BI24" s="1" t="s">
        <v>9</v>
      </c>
      <c r="BJ24" s="1" t="s">
        <v>13</v>
      </c>
      <c r="BK24" s="1" t="s">
        <v>20</v>
      </c>
      <c r="BM24" t="s">
        <v>105</v>
      </c>
      <c r="BN24" t="s">
        <v>96</v>
      </c>
      <c r="BO24" t="s">
        <v>97</v>
      </c>
      <c r="BP24" t="s">
        <v>106</v>
      </c>
    </row>
    <row r="25" spans="1:68" x14ac:dyDescent="0.3">
      <c r="A25" s="1" t="s">
        <v>86</v>
      </c>
      <c r="B25" s="1" t="s">
        <v>87</v>
      </c>
      <c r="C25" s="1" t="s">
        <v>88</v>
      </c>
      <c r="D25">
        <v>11</v>
      </c>
      <c r="E25" s="1" t="s">
        <v>89</v>
      </c>
      <c r="F25">
        <v>1100015</v>
      </c>
      <c r="G25" s="1" t="s">
        <v>5</v>
      </c>
      <c r="H25" s="1" t="s">
        <v>171</v>
      </c>
      <c r="I25">
        <v>11047402</v>
      </c>
      <c r="J25">
        <v>3</v>
      </c>
      <c r="K25">
        <v>1</v>
      </c>
      <c r="L25">
        <v>0</v>
      </c>
      <c r="M25" s="1" t="s">
        <v>172</v>
      </c>
      <c r="N25" s="1" t="s">
        <v>173</v>
      </c>
      <c r="O25" s="1"/>
      <c r="P25" s="1" t="s">
        <v>144</v>
      </c>
      <c r="Q25">
        <v>76954000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296</v>
      </c>
      <c r="AO25">
        <v>296</v>
      </c>
      <c r="AP25">
        <v>0</v>
      </c>
      <c r="AQ25">
        <v>0</v>
      </c>
      <c r="AR25">
        <v>0</v>
      </c>
      <c r="AS25">
        <v>0</v>
      </c>
      <c r="AT25">
        <v>21</v>
      </c>
      <c r="AU25">
        <v>150</v>
      </c>
      <c r="AV25">
        <v>146</v>
      </c>
      <c r="AW25">
        <v>0</v>
      </c>
      <c r="AX25">
        <v>116</v>
      </c>
      <c r="AY25">
        <v>2</v>
      </c>
      <c r="AZ25">
        <v>176</v>
      </c>
      <c r="BA25">
        <v>1</v>
      </c>
      <c r="BB25">
        <v>1</v>
      </c>
      <c r="BC25">
        <v>0</v>
      </c>
      <c r="BD25">
        <v>270</v>
      </c>
      <c r="BE25">
        <v>26</v>
      </c>
      <c r="BF25">
        <v>0</v>
      </c>
      <c r="BG25">
        <v>0</v>
      </c>
      <c r="BH25">
        <v>0</v>
      </c>
      <c r="BI25" s="1" t="s">
        <v>9</v>
      </c>
      <c r="BJ25" s="1" t="s">
        <v>13</v>
      </c>
      <c r="BK25" s="1" t="s">
        <v>20</v>
      </c>
      <c r="BL25" t="s">
        <v>125</v>
      </c>
      <c r="BM25" t="s">
        <v>105</v>
      </c>
      <c r="BN25" t="s">
        <v>105</v>
      </c>
      <c r="BO25" t="s">
        <v>97</v>
      </c>
      <c r="BP25" t="s">
        <v>106</v>
      </c>
    </row>
    <row r="26" spans="1:68" x14ac:dyDescent="0.3">
      <c r="A26" s="1" t="s">
        <v>86</v>
      </c>
      <c r="B26" s="1" t="s">
        <v>87</v>
      </c>
      <c r="C26" s="1" t="s">
        <v>88</v>
      </c>
      <c r="D26">
        <v>11</v>
      </c>
      <c r="E26" s="1" t="s">
        <v>89</v>
      </c>
      <c r="F26">
        <v>1100015</v>
      </c>
      <c r="G26" s="1" t="s">
        <v>5</v>
      </c>
      <c r="H26" s="1" t="s">
        <v>174</v>
      </c>
      <c r="I26">
        <v>11047461</v>
      </c>
      <c r="J26">
        <v>3</v>
      </c>
      <c r="K26">
        <v>1</v>
      </c>
      <c r="L26">
        <v>0</v>
      </c>
      <c r="M26" s="1" t="s">
        <v>175</v>
      </c>
      <c r="N26" s="1" t="s">
        <v>176</v>
      </c>
      <c r="O26" s="1"/>
      <c r="P26" s="1" t="s">
        <v>144</v>
      </c>
      <c r="Q26">
        <v>76954000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427</v>
      </c>
      <c r="AO26">
        <v>71</v>
      </c>
      <c r="AP26">
        <v>356</v>
      </c>
      <c r="AQ26">
        <v>0</v>
      </c>
      <c r="AR26">
        <v>0</v>
      </c>
      <c r="AS26">
        <v>0</v>
      </c>
      <c r="AT26">
        <v>16</v>
      </c>
      <c r="AU26">
        <v>206</v>
      </c>
      <c r="AV26">
        <v>221</v>
      </c>
      <c r="AW26">
        <v>0</v>
      </c>
      <c r="AX26">
        <v>126</v>
      </c>
      <c r="AY26">
        <v>3</v>
      </c>
      <c r="AZ26">
        <v>293</v>
      </c>
      <c r="BA26">
        <v>0</v>
      </c>
      <c r="BB26">
        <v>5</v>
      </c>
      <c r="BC26">
        <v>0</v>
      </c>
      <c r="BD26">
        <v>56</v>
      </c>
      <c r="BE26">
        <v>362</v>
      </c>
      <c r="BF26">
        <v>8</v>
      </c>
      <c r="BG26">
        <v>0</v>
      </c>
      <c r="BH26">
        <v>1</v>
      </c>
      <c r="BI26" s="1" t="s">
        <v>9</v>
      </c>
      <c r="BJ26" s="1" t="s">
        <v>13</v>
      </c>
      <c r="BK26" s="1" t="s">
        <v>20</v>
      </c>
      <c r="BL26" t="s">
        <v>125</v>
      </c>
      <c r="BM26" t="s">
        <v>105</v>
      </c>
      <c r="BN26" t="s">
        <v>105</v>
      </c>
      <c r="BO26" t="s">
        <v>97</v>
      </c>
      <c r="BP26" t="s">
        <v>106</v>
      </c>
    </row>
    <row r="27" spans="1:68" x14ac:dyDescent="0.3">
      <c r="A27" s="1" t="s">
        <v>86</v>
      </c>
      <c r="B27" s="1" t="s">
        <v>87</v>
      </c>
      <c r="C27" s="1" t="s">
        <v>88</v>
      </c>
      <c r="D27">
        <v>11</v>
      </c>
      <c r="E27" s="1" t="s">
        <v>89</v>
      </c>
      <c r="F27">
        <v>1100015</v>
      </c>
      <c r="G27" s="1" t="s">
        <v>5</v>
      </c>
      <c r="H27" s="1" t="s">
        <v>177</v>
      </c>
      <c r="I27">
        <v>11049782</v>
      </c>
      <c r="J27">
        <v>3</v>
      </c>
      <c r="K27">
        <v>2</v>
      </c>
      <c r="M27" s="1" t="s">
        <v>178</v>
      </c>
      <c r="N27" s="1" t="s">
        <v>179</v>
      </c>
      <c r="O27" s="1" t="s">
        <v>114</v>
      </c>
      <c r="P27" s="1"/>
      <c r="Q27">
        <v>76954000</v>
      </c>
      <c r="R27">
        <v>2</v>
      </c>
      <c r="BI27" s="1" t="s">
        <v>10</v>
      </c>
      <c r="BJ27" s="1"/>
      <c r="BK27" s="1" t="s">
        <v>21</v>
      </c>
    </row>
    <row r="28" spans="1:68" x14ac:dyDescent="0.3">
      <c r="A28" s="1" t="s">
        <v>86</v>
      </c>
      <c r="B28" s="1" t="s">
        <v>87</v>
      </c>
      <c r="C28" s="1" t="s">
        <v>88</v>
      </c>
      <c r="D28">
        <v>11</v>
      </c>
      <c r="E28" s="1" t="s">
        <v>89</v>
      </c>
      <c r="F28">
        <v>1100015</v>
      </c>
      <c r="G28" s="1" t="s">
        <v>5</v>
      </c>
      <c r="H28" s="1" t="s">
        <v>180</v>
      </c>
      <c r="I28">
        <v>11050594</v>
      </c>
      <c r="J28">
        <v>3</v>
      </c>
      <c r="K28">
        <v>1</v>
      </c>
      <c r="L28">
        <v>0</v>
      </c>
      <c r="M28" s="1" t="s">
        <v>181</v>
      </c>
      <c r="N28" s="1" t="s">
        <v>182</v>
      </c>
      <c r="O28" s="1"/>
      <c r="P28" s="1" t="s">
        <v>103</v>
      </c>
      <c r="Q28">
        <v>76954000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280</v>
      </c>
      <c r="AO28">
        <v>0</v>
      </c>
      <c r="AP28">
        <v>280</v>
      </c>
      <c r="AQ28">
        <v>0</v>
      </c>
      <c r="AR28">
        <v>0</v>
      </c>
      <c r="AS28">
        <v>0</v>
      </c>
      <c r="AT28">
        <v>14</v>
      </c>
      <c r="AU28">
        <v>143</v>
      </c>
      <c r="AV28">
        <v>137</v>
      </c>
      <c r="AW28">
        <v>1</v>
      </c>
      <c r="AX28">
        <v>109</v>
      </c>
      <c r="AY28">
        <v>2</v>
      </c>
      <c r="AZ28">
        <v>165</v>
      </c>
      <c r="BA28">
        <v>1</v>
      </c>
      <c r="BB28">
        <v>2</v>
      </c>
      <c r="BC28">
        <v>0</v>
      </c>
      <c r="BD28">
        <v>0</v>
      </c>
      <c r="BE28">
        <v>276</v>
      </c>
      <c r="BF28">
        <v>4</v>
      </c>
      <c r="BG28">
        <v>0</v>
      </c>
      <c r="BH28">
        <v>0</v>
      </c>
      <c r="BI28" s="1" t="s">
        <v>9</v>
      </c>
      <c r="BJ28" s="1" t="s">
        <v>13</v>
      </c>
      <c r="BK28" s="1" t="s">
        <v>20</v>
      </c>
      <c r="BL28" t="s">
        <v>125</v>
      </c>
      <c r="BM28" t="s">
        <v>105</v>
      </c>
      <c r="BN28" t="s">
        <v>105</v>
      </c>
      <c r="BO28" t="s">
        <v>97</v>
      </c>
      <c r="BP28" t="s">
        <v>106</v>
      </c>
    </row>
    <row r="29" spans="1:68" x14ac:dyDescent="0.3">
      <c r="A29" s="1" t="s">
        <v>86</v>
      </c>
      <c r="B29" s="1" t="s">
        <v>87</v>
      </c>
      <c r="C29" s="1" t="s">
        <v>88</v>
      </c>
      <c r="D29">
        <v>11</v>
      </c>
      <c r="E29" s="1" t="s">
        <v>89</v>
      </c>
      <c r="F29">
        <v>1100015</v>
      </c>
      <c r="G29" s="1" t="s">
        <v>5</v>
      </c>
      <c r="H29" s="1" t="s">
        <v>183</v>
      </c>
      <c r="I29">
        <v>11051264</v>
      </c>
      <c r="J29">
        <v>3</v>
      </c>
      <c r="K29">
        <v>1</v>
      </c>
      <c r="L29">
        <v>0</v>
      </c>
      <c r="M29" s="1" t="s">
        <v>184</v>
      </c>
      <c r="N29" s="1" t="s">
        <v>185</v>
      </c>
      <c r="O29" s="1"/>
      <c r="P29" s="1" t="s">
        <v>124</v>
      </c>
      <c r="Q29">
        <v>76954000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111</v>
      </c>
      <c r="AO29">
        <v>111</v>
      </c>
      <c r="AP29">
        <v>0</v>
      </c>
      <c r="AQ29">
        <v>0</v>
      </c>
      <c r="AR29">
        <v>0</v>
      </c>
      <c r="AS29">
        <v>0</v>
      </c>
      <c r="AT29">
        <v>5</v>
      </c>
      <c r="AU29">
        <v>61</v>
      </c>
      <c r="AV29">
        <v>50</v>
      </c>
      <c r="AW29">
        <v>0</v>
      </c>
      <c r="AX29">
        <v>54</v>
      </c>
      <c r="AY29">
        <v>2</v>
      </c>
      <c r="AZ29">
        <v>55</v>
      </c>
      <c r="BA29">
        <v>0</v>
      </c>
      <c r="BB29">
        <v>0</v>
      </c>
      <c r="BC29">
        <v>101</v>
      </c>
      <c r="BD29">
        <v>10</v>
      </c>
      <c r="BE29">
        <v>0</v>
      </c>
      <c r="BF29">
        <v>0</v>
      </c>
      <c r="BG29">
        <v>0</v>
      </c>
      <c r="BH29">
        <v>0</v>
      </c>
      <c r="BI29" s="1" t="s">
        <v>9</v>
      </c>
      <c r="BJ29" s="1" t="s">
        <v>13</v>
      </c>
      <c r="BK29" s="1" t="s">
        <v>20</v>
      </c>
      <c r="BL29" t="s">
        <v>104</v>
      </c>
      <c r="BM29" t="s">
        <v>105</v>
      </c>
      <c r="BN29" t="s">
        <v>105</v>
      </c>
      <c r="BO29" t="s">
        <v>97</v>
      </c>
      <c r="BP29" t="s">
        <v>106</v>
      </c>
    </row>
    <row r="30" spans="1:68" x14ac:dyDescent="0.3">
      <c r="A30" s="1" t="s">
        <v>86</v>
      </c>
      <c r="B30" s="1" t="s">
        <v>87</v>
      </c>
      <c r="C30" s="1" t="s">
        <v>88</v>
      </c>
      <c r="D30">
        <v>11</v>
      </c>
      <c r="E30" s="1" t="s">
        <v>89</v>
      </c>
      <c r="F30">
        <v>1100015</v>
      </c>
      <c r="G30" s="1" t="s">
        <v>5</v>
      </c>
      <c r="H30" s="1" t="s">
        <v>186</v>
      </c>
      <c r="I30">
        <v>11025280</v>
      </c>
      <c r="J30">
        <v>3</v>
      </c>
      <c r="K30">
        <v>2</v>
      </c>
      <c r="L30">
        <v>0</v>
      </c>
      <c r="M30" s="1" t="s">
        <v>187</v>
      </c>
      <c r="N30" s="1" t="s">
        <v>179</v>
      </c>
      <c r="O30" s="1" t="s">
        <v>188</v>
      </c>
      <c r="P30" s="1" t="s">
        <v>114</v>
      </c>
      <c r="Q30">
        <v>76954000</v>
      </c>
      <c r="R30">
        <v>1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96</v>
      </c>
      <c r="AO30">
        <v>17</v>
      </c>
      <c r="AP30">
        <v>79</v>
      </c>
      <c r="AQ30">
        <v>0</v>
      </c>
      <c r="AR30">
        <v>0</v>
      </c>
      <c r="AS30">
        <v>0</v>
      </c>
      <c r="AT30">
        <v>1</v>
      </c>
      <c r="AU30">
        <v>34</v>
      </c>
      <c r="AV30">
        <v>62</v>
      </c>
      <c r="AW30">
        <v>0</v>
      </c>
      <c r="AX30">
        <v>36</v>
      </c>
      <c r="AY30">
        <v>0</v>
      </c>
      <c r="AZ30">
        <v>60</v>
      </c>
      <c r="BA30">
        <v>0</v>
      </c>
      <c r="BB30">
        <v>0</v>
      </c>
      <c r="BC30">
        <v>0</v>
      </c>
      <c r="BD30">
        <v>15</v>
      </c>
      <c r="BE30">
        <v>43</v>
      </c>
      <c r="BF30">
        <v>37</v>
      </c>
      <c r="BG30">
        <v>1</v>
      </c>
      <c r="BH30">
        <v>0</v>
      </c>
      <c r="BI30" s="1" t="s">
        <v>10</v>
      </c>
      <c r="BJ30" s="1" t="s">
        <v>13</v>
      </c>
      <c r="BK30" s="1" t="s">
        <v>20</v>
      </c>
      <c r="BL30" t="s">
        <v>104</v>
      </c>
      <c r="BM30" t="s">
        <v>95</v>
      </c>
      <c r="BN30" t="s">
        <v>105</v>
      </c>
      <c r="BO30" t="s">
        <v>97</v>
      </c>
      <c r="BP30" t="s">
        <v>116</v>
      </c>
    </row>
    <row r="31" spans="1:68" x14ac:dyDescent="0.3">
      <c r="A31" s="1" t="s">
        <v>86</v>
      </c>
      <c r="B31" s="1" t="s">
        <v>87</v>
      </c>
      <c r="C31" s="1" t="s">
        <v>88</v>
      </c>
      <c r="D31">
        <v>11</v>
      </c>
      <c r="E31" s="1" t="s">
        <v>89</v>
      </c>
      <c r="F31">
        <v>1100015</v>
      </c>
      <c r="G31" s="1" t="s">
        <v>5</v>
      </c>
      <c r="H31" s="1" t="s">
        <v>189</v>
      </c>
      <c r="I31">
        <v>11024828</v>
      </c>
      <c r="J31">
        <v>3</v>
      </c>
      <c r="K31">
        <v>2</v>
      </c>
      <c r="L31">
        <v>0</v>
      </c>
      <c r="M31" s="1" t="s">
        <v>190</v>
      </c>
      <c r="N31" s="1" t="s">
        <v>149</v>
      </c>
      <c r="O31" s="1" t="s">
        <v>191</v>
      </c>
      <c r="P31" s="1" t="s">
        <v>192</v>
      </c>
      <c r="Q31">
        <v>76954000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129</v>
      </c>
      <c r="AO31">
        <v>18</v>
      </c>
      <c r="AP31">
        <v>111</v>
      </c>
      <c r="AQ31">
        <v>0</v>
      </c>
      <c r="AR31">
        <v>0</v>
      </c>
      <c r="AS31">
        <v>0</v>
      </c>
      <c r="AT31">
        <v>0</v>
      </c>
      <c r="AU31">
        <v>65</v>
      </c>
      <c r="AV31">
        <v>64</v>
      </c>
      <c r="AW31">
        <v>0</v>
      </c>
      <c r="AX31">
        <v>49</v>
      </c>
      <c r="AY31">
        <v>1</v>
      </c>
      <c r="AZ31">
        <v>75</v>
      </c>
      <c r="BA31">
        <v>0</v>
      </c>
      <c r="BB31">
        <v>4</v>
      </c>
      <c r="BC31">
        <v>0</v>
      </c>
      <c r="BD31">
        <v>15</v>
      </c>
      <c r="BE31">
        <v>61</v>
      </c>
      <c r="BF31">
        <v>50</v>
      </c>
      <c r="BG31">
        <v>2</v>
      </c>
      <c r="BH31">
        <v>1</v>
      </c>
      <c r="BI31" s="1" t="s">
        <v>10</v>
      </c>
      <c r="BJ31" s="1" t="s">
        <v>13</v>
      </c>
      <c r="BK31" s="1" t="s">
        <v>20</v>
      </c>
      <c r="BL31" t="s">
        <v>104</v>
      </c>
      <c r="BM31" t="s">
        <v>95</v>
      </c>
      <c r="BN31" t="s">
        <v>105</v>
      </c>
      <c r="BO31" t="s">
        <v>97</v>
      </c>
      <c r="BP31" t="s">
        <v>106</v>
      </c>
    </row>
    <row r="32" spans="1:68" x14ac:dyDescent="0.3">
      <c r="A32" s="1" t="s">
        <v>86</v>
      </c>
      <c r="B32" s="1" t="s">
        <v>87</v>
      </c>
      <c r="C32" s="1" t="s">
        <v>88</v>
      </c>
      <c r="D32">
        <v>11</v>
      </c>
      <c r="E32" s="1" t="s">
        <v>89</v>
      </c>
      <c r="F32">
        <v>1100015</v>
      </c>
      <c r="G32" s="1" t="s">
        <v>5</v>
      </c>
      <c r="H32" s="1" t="s">
        <v>193</v>
      </c>
      <c r="I32">
        <v>11025077</v>
      </c>
      <c r="J32">
        <v>3</v>
      </c>
      <c r="K32">
        <v>2</v>
      </c>
      <c r="L32">
        <v>0</v>
      </c>
      <c r="M32" s="1" t="s">
        <v>194</v>
      </c>
      <c r="N32" s="1"/>
      <c r="O32" s="1"/>
      <c r="P32" s="1"/>
      <c r="Q32">
        <v>76954000</v>
      </c>
      <c r="R32">
        <v>1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92</v>
      </c>
      <c r="AO32">
        <v>22</v>
      </c>
      <c r="AP32">
        <v>70</v>
      </c>
      <c r="AQ32">
        <v>0</v>
      </c>
      <c r="AR32">
        <v>0</v>
      </c>
      <c r="AS32">
        <v>0</v>
      </c>
      <c r="AT32">
        <v>0</v>
      </c>
      <c r="AU32">
        <v>41</v>
      </c>
      <c r="AV32">
        <v>51</v>
      </c>
      <c r="AW32">
        <v>1</v>
      </c>
      <c r="AX32">
        <v>27</v>
      </c>
      <c r="AY32">
        <v>3</v>
      </c>
      <c r="AZ32">
        <v>56</v>
      </c>
      <c r="BA32">
        <v>0</v>
      </c>
      <c r="BB32">
        <v>5</v>
      </c>
      <c r="BC32">
        <v>0</v>
      </c>
      <c r="BD32">
        <v>20</v>
      </c>
      <c r="BE32">
        <v>45</v>
      </c>
      <c r="BF32">
        <v>26</v>
      </c>
      <c r="BG32">
        <v>1</v>
      </c>
      <c r="BH32">
        <v>0</v>
      </c>
      <c r="BI32" s="1" t="s">
        <v>10</v>
      </c>
      <c r="BJ32" s="1" t="s">
        <v>13</v>
      </c>
      <c r="BK32" s="1" t="s">
        <v>20</v>
      </c>
      <c r="BL32" t="s">
        <v>104</v>
      </c>
      <c r="BM32" t="s">
        <v>95</v>
      </c>
      <c r="BN32" t="s">
        <v>105</v>
      </c>
      <c r="BO32" t="s">
        <v>97</v>
      </c>
      <c r="BP32" t="s">
        <v>116</v>
      </c>
    </row>
    <row r="33" spans="1:68" x14ac:dyDescent="0.3">
      <c r="A33" s="1" t="s">
        <v>86</v>
      </c>
      <c r="B33" s="1" t="s">
        <v>87</v>
      </c>
      <c r="C33" s="1" t="s">
        <v>88</v>
      </c>
      <c r="D33">
        <v>11</v>
      </c>
      <c r="E33" s="1" t="s">
        <v>89</v>
      </c>
      <c r="F33">
        <v>1100015</v>
      </c>
      <c r="G33" s="1" t="s">
        <v>5</v>
      </c>
      <c r="H33" s="1" t="s">
        <v>195</v>
      </c>
      <c r="I33">
        <v>11024372</v>
      </c>
      <c r="J33">
        <v>3</v>
      </c>
      <c r="K33">
        <v>2</v>
      </c>
      <c r="L33">
        <v>0</v>
      </c>
      <c r="M33" s="1" t="s">
        <v>196</v>
      </c>
      <c r="N33" s="1"/>
      <c r="O33" s="1" t="s">
        <v>114</v>
      </c>
      <c r="P33" s="1"/>
      <c r="Q33">
        <v>76954000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96</v>
      </c>
      <c r="AO33">
        <v>23</v>
      </c>
      <c r="AP33">
        <v>73</v>
      </c>
      <c r="AQ33">
        <v>0</v>
      </c>
      <c r="AR33">
        <v>0</v>
      </c>
      <c r="AS33">
        <v>0</v>
      </c>
      <c r="AT33">
        <v>2</v>
      </c>
      <c r="AU33">
        <v>42</v>
      </c>
      <c r="AV33">
        <v>54</v>
      </c>
      <c r="AW33">
        <v>0</v>
      </c>
      <c r="AX33">
        <v>10</v>
      </c>
      <c r="AY33">
        <v>3</v>
      </c>
      <c r="AZ33">
        <v>51</v>
      </c>
      <c r="BA33">
        <v>0</v>
      </c>
      <c r="BB33">
        <v>32</v>
      </c>
      <c r="BC33">
        <v>0</v>
      </c>
      <c r="BD33">
        <v>19</v>
      </c>
      <c r="BE33">
        <v>38</v>
      </c>
      <c r="BF33">
        <v>39</v>
      </c>
      <c r="BG33">
        <v>0</v>
      </c>
      <c r="BH33">
        <v>0</v>
      </c>
      <c r="BI33" s="1" t="s">
        <v>10</v>
      </c>
      <c r="BJ33" s="1" t="s">
        <v>13</v>
      </c>
      <c r="BK33" s="1" t="s">
        <v>20</v>
      </c>
      <c r="BL33" t="s">
        <v>104</v>
      </c>
      <c r="BM33" t="s">
        <v>151</v>
      </c>
      <c r="BN33" t="s">
        <v>105</v>
      </c>
      <c r="BO33" t="s">
        <v>97</v>
      </c>
      <c r="BP33" t="s">
        <v>106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7617-7A78-4D05-95A0-63214426677E}">
  <dimension ref="A1:B2"/>
  <sheetViews>
    <sheetView workbookViewId="0">
      <selection activeCell="K19" sqref="K19"/>
    </sheetView>
  </sheetViews>
  <sheetFormatPr defaultRowHeight="14.4" x14ac:dyDescent="0.3"/>
  <cols>
    <col min="1" max="1" width="19.88671875" bestFit="1" customWidth="1"/>
    <col min="2" max="2" width="17.88671875" bestFit="1" customWidth="1"/>
  </cols>
  <sheetData>
    <row r="1" spans="1:2" x14ac:dyDescent="0.3">
      <c r="A1" t="s">
        <v>198</v>
      </c>
      <c r="B1" t="s">
        <v>197</v>
      </c>
    </row>
    <row r="2" spans="1:2" x14ac:dyDescent="0.3">
      <c r="A2" s="1" t="s">
        <v>88</v>
      </c>
      <c r="B2" s="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3E7F-871A-46E5-B394-6E3134C32610}">
  <dimension ref="B3:C4"/>
  <sheetViews>
    <sheetView workbookViewId="0">
      <selection activeCell="B3" sqref="B3:C4"/>
    </sheetView>
  </sheetViews>
  <sheetFormatPr defaultRowHeight="14.4" x14ac:dyDescent="0.3"/>
  <cols>
    <col min="2" max="2" width="19.33203125" customWidth="1"/>
    <col min="3" max="3" width="17.88671875" customWidth="1"/>
  </cols>
  <sheetData>
    <row r="3" spans="2:3" x14ac:dyDescent="0.3">
      <c r="B3" s="2" t="s">
        <v>198</v>
      </c>
      <c r="C3" s="2" t="s">
        <v>197</v>
      </c>
    </row>
    <row r="4" spans="2:3" x14ac:dyDescent="0.3">
      <c r="B4" t="s">
        <v>88</v>
      </c>
      <c r="C4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7044-0B8C-4D71-9124-8E8BDCB991EA}">
  <dimension ref="A1:B6"/>
  <sheetViews>
    <sheetView workbookViewId="0"/>
  </sheetViews>
  <sheetFormatPr defaultRowHeight="14.4" x14ac:dyDescent="0.3"/>
  <cols>
    <col min="1" max="1" width="31.44140625" bestFit="1" customWidth="1"/>
    <col min="2" max="2" width="22.2187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>
        <v>0</v>
      </c>
      <c r="B2" s="1" t="s">
        <v>13</v>
      </c>
    </row>
    <row r="3" spans="1:2" x14ac:dyDescent="0.3">
      <c r="A3">
        <v>1</v>
      </c>
      <c r="B3" s="1" t="s">
        <v>14</v>
      </c>
    </row>
    <row r="4" spans="1:2" x14ac:dyDescent="0.3">
      <c r="A4">
        <v>2</v>
      </c>
      <c r="B4" s="1" t="s">
        <v>15</v>
      </c>
    </row>
    <row r="5" spans="1:2" x14ac:dyDescent="0.3">
      <c r="A5">
        <v>3</v>
      </c>
      <c r="B5" s="1" t="s">
        <v>16</v>
      </c>
    </row>
    <row r="6" spans="1:2" x14ac:dyDescent="0.3">
      <c r="A6">
        <v>8</v>
      </c>
      <c r="B6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3683-B9F7-4675-B22F-41306419F1A6}">
  <dimension ref="A1:B3"/>
  <sheetViews>
    <sheetView workbookViewId="0"/>
  </sheetViews>
  <sheetFormatPr defaultRowHeight="14.4" x14ac:dyDescent="0.3"/>
  <cols>
    <col min="1" max="1" width="17.88671875" bestFit="1" customWidth="1"/>
    <col min="2" max="2" width="1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</v>
      </c>
      <c r="B2" s="1" t="s">
        <v>9</v>
      </c>
    </row>
    <row r="3" spans="1:2" x14ac:dyDescent="0.3">
      <c r="A3">
        <v>2</v>
      </c>
      <c r="B3" s="1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5198-9532-4B50-8AA5-6BF523D3371D}">
  <dimension ref="A1:B5"/>
  <sheetViews>
    <sheetView workbookViewId="0"/>
  </sheetViews>
  <sheetFormatPr defaultRowHeight="14.4" x14ac:dyDescent="0.3"/>
  <cols>
    <col min="1" max="1" width="18.21875" bestFit="1" customWidth="1"/>
    <col min="2" max="2" width="15.441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>
        <v>1</v>
      </c>
      <c r="B2" s="1" t="s">
        <v>3</v>
      </c>
    </row>
    <row r="3" spans="1:2" x14ac:dyDescent="0.3">
      <c r="A3">
        <v>2</v>
      </c>
      <c r="B3" s="1" t="s">
        <v>4</v>
      </c>
    </row>
    <row r="4" spans="1:2" x14ac:dyDescent="0.3">
      <c r="A4">
        <v>3</v>
      </c>
      <c r="B4" s="1" t="s">
        <v>5</v>
      </c>
    </row>
    <row r="5" spans="1:2" x14ac:dyDescent="0.3">
      <c r="A5">
        <v>4</v>
      </c>
      <c r="B5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850A-0B47-4819-8CD6-ECF48EC2B39D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A24DEF35361248A47EE586F22D9330" ma:contentTypeVersion="5" ma:contentTypeDescription="Crie um novo documento." ma:contentTypeScope="" ma:versionID="8eccbb61b7aecb8035cece1fe5e58ad6">
  <xsd:schema xmlns:xsd="http://www.w3.org/2001/XMLSchema" xmlns:xs="http://www.w3.org/2001/XMLSchema" xmlns:p="http://schemas.microsoft.com/office/2006/metadata/properties" xmlns:ns3="093b72ad-bdb3-436b-9127-260550700053" targetNamespace="http://schemas.microsoft.com/office/2006/metadata/properties" ma:root="true" ma:fieldsID="0eb71957bf69bcb7bf8f7b84b5f4acca" ns3:_="">
    <xsd:import namespace="093b72ad-bdb3-436b-9127-2605507000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b72ad-bdb3-436b-9127-2605507000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3b72ad-bdb3-436b-9127-26055070005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DB92686-5576-4FD9-80B9-389773C72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b72ad-bdb3-436b-9127-260550700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E10D8-3284-4E8B-80D4-26B1C8DB83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7A52F1-F99A-4E2A-BA04-94E450643CE7}">
  <ds:schemaRefs>
    <ds:schemaRef ds:uri="http://purl.org/dc/elements/1.1/"/>
    <ds:schemaRef ds:uri="http://purl.org/dc/terms/"/>
    <ds:schemaRef ds:uri="http://www.w3.org/XML/1998/namespace"/>
    <ds:schemaRef ds:uri="093b72ad-bdb3-436b-9127-26055070005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925D0BA-A44D-4644-A84D-54B74873F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Situacao</vt:lpstr>
      <vt:lpstr>Dashboard</vt:lpstr>
      <vt:lpstr>Dinâmicas</vt:lpstr>
      <vt:lpstr>Microdados</vt:lpstr>
      <vt:lpstr>Filtro_Municipio</vt:lpstr>
      <vt:lpstr>Mudar Município</vt:lpstr>
      <vt:lpstr>LocDiferenciada</vt:lpstr>
      <vt:lpstr>Localizacao</vt:lpstr>
      <vt:lpstr>Dependencia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LORRAINE SOARES DA SILVA MORAIS</dc:creator>
  <cp:lastModifiedBy>LARA LORRAINE SOARES DA SILVA MORAIS</cp:lastModifiedBy>
  <cp:lastPrinted>2026-10-02T18:00:47Z</cp:lastPrinted>
  <dcterms:created xsi:type="dcterms:W3CDTF">2026-09-28T10:34:34Z</dcterms:created>
  <dcterms:modified xsi:type="dcterms:W3CDTF">2026-10-02T23:41:11Z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0x010100BBA24DEF35361248A47EE586F22D9330</vt:lpwstr>
  </property>
</Properties>
</file>